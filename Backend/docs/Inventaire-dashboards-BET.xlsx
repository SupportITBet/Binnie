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— Cotation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Onglets par profil" sheetId="3" state="visible" r:id="rId3"/>
    <sheet xmlns:r="http://schemas.openxmlformats.org/officeDocument/2006/relationships" name="Modules transverses" sheetId="4" state="visible" r:id="rId4"/>
    <sheet xmlns:r="http://schemas.openxmlformats.org/officeDocument/2006/relationships" name="Circuits transverses" sheetId="5" state="visible" r:id="rId5"/>
    <sheet xmlns:r="http://schemas.openxmlformats.org/officeDocument/2006/relationships" name="Briques partagées" sheetId="6" state="visible" r:id="rId6"/>
  </sheets>
  <definedNames>
    <definedName name="_xlnm._FilterDatabase" localSheetId="2" hidden="1">'Onglets par profil'!$A$4:$I$228</definedName>
    <definedName name="_xlnm._FilterDatabase" localSheetId="3" hidden="1">'Modules transverses'!$A$4:$H$19</definedName>
    <definedName name="_xlnm._FilterDatabase" localSheetId="5" hidden="1">'Briques partagées'!$A$4:$G$21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7">
    <font>
      <name val="Calibri"/>
      <family val="2"/>
      <color theme="1"/>
      <sz val="11"/>
      <scheme val="minor"/>
    </font>
    <font>
      <name val="Consolas"/>
      <b val="1"/>
      <color rgb="000891B2"/>
      <sz val="9"/>
    </font>
    <font>
      <name val="Calibri"/>
      <b val="1"/>
      <color rgb="0012161D"/>
      <sz val="20"/>
    </font>
    <font>
      <name val="Calibri"/>
      <color rgb="005C6573"/>
      <sz val="10.5"/>
    </font>
    <font>
      <name val="Consolas"/>
      <b val="1"/>
      <color rgb="0012161D"/>
      <sz val="9"/>
    </font>
    <font>
      <name val="Consolas"/>
      <b val="1"/>
      <color rgb="001B3080"/>
      <sz val="18"/>
    </font>
    <font>
      <name val="Calibri"/>
      <color rgb="005C6573"/>
      <sz val="8.5"/>
    </font>
    <font>
      <name val="Calibri"/>
      <b val="1"/>
      <color rgb="00FFFFFF"/>
      <sz val="9"/>
    </font>
    <font>
      <name val="Calibri"/>
      <b val="1"/>
      <color rgb="008A5A00"/>
      <sz val="9"/>
    </font>
    <font>
      <name val="Calibri"/>
      <b val="1"/>
      <color rgb="0012161D"/>
      <sz val="9.5"/>
    </font>
    <font>
      <name val="Calibri"/>
      <color rgb="0012161D"/>
      <sz val="9.5"/>
    </font>
    <font>
      <name val="Calibri"/>
      <color rgb="005C6573"/>
      <sz val="9.5"/>
    </font>
    <font>
      <name val="Calibri"/>
      <b val="1"/>
      <color rgb="001B3080"/>
      <sz val="9.5"/>
    </font>
    <font>
      <name val="Calibri"/>
      <b val="1"/>
      <color rgb="0012161D"/>
      <sz val="11"/>
    </font>
    <font>
      <name val="Calibri"/>
      <b val="1"/>
      <color rgb="001B3080"/>
      <sz val="15"/>
    </font>
    <font>
      <name val="Calibri"/>
      <color rgb="0015703F"/>
      <sz val="9"/>
    </font>
    <font>
      <name val="Calibri"/>
      <b val="1"/>
      <color rgb="005C6573"/>
      <sz val="9"/>
    </font>
    <font>
      <name val="Calibri"/>
      <b val="1"/>
      <color rgb="00AE2128"/>
      <sz val="9"/>
    </font>
    <font>
      <name val="Calibri"/>
      <b val="1"/>
      <color rgb="00AE2128"/>
      <sz val="9.5"/>
    </font>
    <font>
      <name val="Calibri"/>
      <b val="1"/>
      <color rgb="00FFFFFF"/>
      <sz val="14"/>
    </font>
    <font>
      <name val="Calibri"/>
      <b val="1"/>
      <color rgb="003F3000"/>
      <sz val="9"/>
    </font>
    <font>
      <name val="Calibri"/>
      <b val="1"/>
      <i val="1"/>
      <color rgb="00FFFFFF"/>
      <sz val="9.5"/>
    </font>
    <font>
      <name val="Calibri"/>
      <i val="1"/>
      <color rgb="005C6573"/>
      <sz val="9"/>
    </font>
    <font>
      <name val="Calibri"/>
      <b val="1"/>
      <color rgb="0012161D"/>
      <sz val="10"/>
    </font>
    <font>
      <name val="Calibri"/>
      <b val="1"/>
      <color rgb="001B3080"/>
      <sz val="10"/>
    </font>
    <font>
      <name val="Calibri"/>
      <b val="1"/>
      <color rgb="00FFFFFF"/>
      <sz val="12"/>
    </font>
    <font>
      <name val="Calibri"/>
      <color rgb="005C6573"/>
      <sz val="9"/>
    </font>
  </fonts>
  <fills count="10">
    <fill>
      <patternFill/>
    </fill>
    <fill>
      <patternFill patternType="gray125"/>
    </fill>
    <fill>
      <patternFill patternType="solid">
        <fgColor rgb="001B3080"/>
      </patternFill>
    </fill>
    <fill>
      <patternFill patternType="solid">
        <fgColor rgb="00FFF7E6"/>
      </patternFill>
    </fill>
    <fill>
      <patternFill patternType="solid">
        <fgColor rgb="00F2F4FA"/>
      </patternFill>
    </fill>
    <fill>
      <patternFill patternType="solid">
        <fgColor rgb="00E8EDF8"/>
      </patternFill>
    </fill>
    <fill>
      <patternFill patternType="solid">
        <fgColor rgb="001F3864"/>
      </patternFill>
    </fill>
    <fill>
      <patternFill patternType="solid">
        <fgColor rgb="00BF9000"/>
      </patternFill>
    </fill>
    <fill>
      <patternFill patternType="solid">
        <fgColor rgb="00D9D9D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5DBE6"/>
      </left>
      <right style="thin">
        <color rgb="00D5DBE6"/>
      </right>
      <top style="thin">
        <color rgb="00D5DBE6"/>
      </top>
      <bottom style="thin">
        <color rgb="00D5DBE6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9" fillId="6" borderId="0" applyAlignment="1" pivotButton="0" quotePrefix="0" xfId="0">
      <alignment horizontal="left" vertical="center" indent="1"/>
    </xf>
    <xf numFmtId="0" fontId="20" fillId="7" borderId="0" applyAlignment="1" pivotButton="0" quotePrefix="0" xfId="0">
      <alignment vertical="center" indent="1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21" fillId="6" borderId="0" applyAlignment="1" pivotButton="0" quotePrefix="0" xfId="0">
      <alignment vertical="center" indent="1"/>
    </xf>
    <xf numFmtId="0" fontId="9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23" fillId="9" borderId="1" applyAlignment="1" pivotButton="0" quotePrefix="0" xfId="0">
      <alignment horizontal="right" vertical="center"/>
    </xf>
    <xf numFmtId="164" fontId="24" fillId="9" borderId="1" applyAlignment="1" pivotButton="0" quotePrefix="0" xfId="0">
      <alignment horizontal="right"/>
    </xf>
    <xf numFmtId="0" fontId="18" fillId="0" borderId="1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164" fontId="25" fillId="6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0" borderId="0" pivotButton="0" quotePrefix="0" xfId="0"/>
    <xf numFmtId="0" fontId="11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center"/>
    </xf>
    <xf numFmtId="0" fontId="11" fillId="0" borderId="0" pivotButton="0" quotePrefix="0" xfId="0"/>
    <xf numFmtId="0" fontId="15" fillId="0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7" fillId="4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7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88" customWidth="1" min="2" max="2"/>
    <col width="13" customWidth="1" min="3" max="3"/>
    <col width="17" customWidth="1" min="4" max="4"/>
    <col width="17" customWidth="1" min="5" max="5"/>
  </cols>
  <sheetData>
    <row r="2" ht="30" customHeight="1">
      <c r="A2" s="1" t="inlineStr">
        <is>
          <t>OFFRE — TABLEAUX DE BORD BET (application « dash »)</t>
        </is>
      </c>
    </row>
    <row r="3" ht="18" customHeight="1">
      <c r="A3" s="2" t="inlineStr">
        <is>
          <t>Quantités relevées dans le code source le 28/09/2026 — voir les feuilles d'inventaire. Prix unitaires à renseigner : tous les totaux sont calculés.</t>
        </is>
      </c>
    </row>
    <row r="5" ht="20" customHeight="1">
      <c r="A5" s="3" t="inlineStr">
        <is>
          <t>Prestation</t>
        </is>
      </c>
      <c r="B5" s="3" t="inlineStr">
        <is>
          <t>Détail / Description</t>
        </is>
      </c>
      <c r="C5" s="4" t="inlineStr">
        <is>
          <t>Qté</t>
        </is>
      </c>
      <c r="D5" s="4" t="inlineStr">
        <is>
          <t>Prix unitaire (FCFA)</t>
        </is>
      </c>
      <c r="E5" s="4" t="inlineStr">
        <is>
          <t>Total (FCFA)</t>
        </is>
      </c>
    </row>
    <row r="6" ht="18" customHeight="1">
      <c r="A6" s="5" t="inlineStr">
        <is>
          <t>— LOT A — SOCLE TECHNIQUE ET BRIQUES TRANSVERSES —</t>
        </is>
      </c>
    </row>
    <row r="7" ht="26" customHeight="1">
      <c r="A7" s="6" t="inlineStr">
        <is>
          <t>Authentification &amp; routage par rôle</t>
        </is>
      </c>
      <c r="B7" s="7" t="inlineStr">
        <is>
          <t>Connexion du personnel, double facteur, sas d'accès, redirection vers l'espace du rôle, expiration de session sur inactivité</t>
        </is>
      </c>
      <c r="C7" s="8" t="inlineStr">
        <is>
          <t>19 profils</t>
        </is>
      </c>
      <c r="D7" s="9" t="n"/>
      <c r="E7" s="10">
        <f>IF(D7="","",19*D7)</f>
        <v/>
      </c>
    </row>
    <row r="8" ht="26" customHeight="1">
      <c r="A8" s="6" t="inlineStr">
        <is>
          <t>Gestion des droits</t>
        </is>
      </c>
      <c r="B8" s="7" t="inlineStr">
        <is>
          <t>Matrice des permissions par rôle et par domaine ; commande ce que chaque profil voit et modifie</t>
        </is>
      </c>
      <c r="C8" s="8" t="inlineStr">
        <is>
          <t>1 forfait</t>
        </is>
      </c>
      <c r="D8" s="9" t="n"/>
      <c r="E8" s="10">
        <f>IF(D8="","",1*D8)</f>
        <v/>
      </c>
    </row>
    <row r="9" ht="26" customHeight="1">
      <c r="A9" s="6" t="inlineStr">
        <is>
          <t>Centre de notifications</t>
        </is>
      </c>
      <c r="B9" s="7" t="inlineStr">
        <is>
          <t>Notifications temps réel, badges par onglet, marquage lu/non lu, bandeau d'alerte</t>
        </is>
      </c>
      <c r="C9" s="8" t="inlineStr">
        <is>
          <t>1 forfait</t>
        </is>
      </c>
      <c r="D9" s="9" t="n"/>
      <c r="E9" s="10">
        <f>IF(D9="","",1*D9)</f>
        <v/>
      </c>
    </row>
    <row r="10" ht="26" customHeight="1">
      <c r="A10" s="6" t="inlineStr">
        <is>
          <t>Messagerie interne &amp; chats de classe</t>
        </is>
      </c>
      <c r="B10" s="7" t="inlineStr">
        <is>
          <t>Messagerie entre membres du personnel et fils de discussion par classe, compteurs de non-lus</t>
        </is>
      </c>
      <c r="C10" s="8" t="inlineStr">
        <is>
          <t>1 forfait</t>
        </is>
      </c>
      <c r="D10" s="9" t="n"/>
      <c r="E10" s="10">
        <f>IF(D10="","",1*D10)</f>
        <v/>
      </c>
    </row>
    <row r="11" ht="26" customHeight="1">
      <c r="A11" s="6" t="inlineStr">
        <is>
          <t>Composants partagés</t>
        </is>
      </c>
      <c r="B11" s="7" t="inlineStr">
        <is>
          <t>Planning de classe, historique des tests, filtres et pagination, demandes de transfert, appréciations, fiche profil…</t>
        </is>
      </c>
      <c r="C11" s="8" t="inlineStr">
        <is>
          <t>46 composants</t>
        </is>
      </c>
      <c r="D11" s="9" t="n"/>
      <c r="E11" s="10">
        <f>IF(D11="","",46*D11)</f>
        <v/>
      </c>
    </row>
    <row r="12" ht="26" customHeight="1">
      <c r="A12" s="6" t="inlineStr">
        <is>
          <t>Utilitaires transverses</t>
        </is>
      </c>
      <c r="B12" s="7" t="inlineStr">
        <is>
          <t>Gabarit PDF à la charte, exports Excel mis en forme, lecture sécurisée des documents, barèmes d'évaluation</t>
        </is>
      </c>
      <c r="C12" s="8" t="inlineStr">
        <is>
          <t>32 utilitaires</t>
        </is>
      </c>
      <c r="D12" s="9" t="n"/>
      <c r="E12" s="10">
        <f>IF(D12="","",32*D12)</f>
        <v/>
      </c>
    </row>
    <row r="13" ht="26" customHeight="1">
      <c r="A13" s="6" t="inlineStr">
        <is>
          <t>Exports PDF &amp; Excel</t>
        </is>
      </c>
      <c r="B13" s="7" t="inlineStr">
        <is>
          <t>Fiche apprenant en PDF (7 espaces), exports Excel de listes et de rapports</t>
        </is>
      </c>
      <c r="C13" s="8" t="inlineStr">
        <is>
          <t>1 forfait</t>
        </is>
      </c>
      <c r="D13" s="9" t="n"/>
      <c r="E13" s="10">
        <f>IF(D13="","",1*D13)</f>
        <v/>
      </c>
    </row>
    <row r="14">
      <c r="A14" s="11" t="inlineStr">
        <is>
          <t>SOUS-TOTAL LOT A</t>
        </is>
      </c>
      <c r="E14" s="12">
        <f>SUM(E7:E13)</f>
        <v/>
      </c>
    </row>
    <row r="16" ht="18" customHeight="1">
      <c r="A16" s="5" t="inlineStr">
        <is>
          <t>— LOT B — ESPACES DE PILOTAGE —</t>
        </is>
      </c>
    </row>
    <row r="17" ht="26" customHeight="1">
      <c r="A17" s="6" t="inlineStr">
        <is>
          <t>Espace Super Admin</t>
        </is>
      </c>
      <c r="B17" s="7" t="inlineStr">
        <is>
          <t>Configuration de la plateforme, boutique, médias, campagnes, catalogue, droits, audit, chiffre d'affaires</t>
        </is>
      </c>
      <c r="C17" s="8" t="inlineStr">
        <is>
          <t>23 onglets</t>
        </is>
      </c>
      <c r="D17" s="9" t="n"/>
      <c r="E17" s="10">
        <f>IF(D17="","",23*D17)</f>
        <v/>
      </c>
    </row>
    <row r="18" ht="26" customHeight="1">
      <c r="A18" s="6" t="inlineStr">
        <is>
          <t>Espace Administrateur</t>
        </is>
      </c>
      <c r="B18" s="7" t="inlineStr">
        <is>
          <t>Administration métier, référentiels, suivi transversal des apprenants et des coachs</t>
        </is>
      </c>
      <c r="C18" s="8" t="inlineStr">
        <is>
          <t>18 onglets</t>
        </is>
      </c>
      <c r="D18" s="9" t="n"/>
      <c r="E18" s="10">
        <f>IF(D18="","",18*D18)</f>
        <v/>
      </c>
    </row>
    <row r="19" ht="26" customHeight="1">
      <c r="A19" s="6" t="inlineStr">
        <is>
          <t>Espace Manager</t>
        </is>
      </c>
      <c r="B19" s="7" t="inlineStr">
        <is>
          <t>Cockpit KPI, performance des équipes commerciale et pédagogique, reporting global</t>
        </is>
      </c>
      <c r="C19" s="8" t="inlineStr">
        <is>
          <t>8 onglets</t>
        </is>
      </c>
      <c r="D19" s="9" t="n"/>
      <c r="E19" s="10">
        <f>IF(D19="","",8*D19)</f>
        <v/>
      </c>
    </row>
    <row r="20">
      <c r="A20" s="11" t="inlineStr">
        <is>
          <t>SOUS-TOTAL LOT B</t>
        </is>
      </c>
      <c r="E20" s="12">
        <f>SUM(E17:E19)</f>
        <v/>
      </c>
    </row>
    <row r="22" ht="18" customHeight="1">
      <c r="A22" s="5" t="inlineStr">
        <is>
          <t>— LOT C — CHAÎNE COMMERCIALE —</t>
        </is>
      </c>
    </row>
    <row r="23" ht="26" customHeight="1">
      <c r="A23" s="6" t="inlineStr">
        <is>
          <t>Espace Assistante commerciale</t>
        </is>
      </c>
      <c r="B23" s="7" t="inlineStr">
        <is>
          <t>Prospection, tests reçus, inscriptions, fiche apprenant, échéanciers et relances, pipeline et facturation B2B</t>
        </is>
      </c>
      <c r="C23" s="8" t="inlineStr">
        <is>
          <t>18 onglets</t>
        </is>
      </c>
      <c r="D23" s="9" t="n"/>
      <c r="E23" s="10">
        <f>IF(D23="","",18*D23)</f>
        <v/>
      </c>
    </row>
    <row r="24" ht="26" customHeight="1">
      <c r="A24" s="6" t="inlineStr">
        <is>
          <t>Espace Assistante onboarding</t>
        </is>
      </c>
      <c r="B24" s="7" t="inlineStr">
        <is>
          <t>Intégration des nouveaux apprenants, création des accès, kick-off, classes en ligne, suivi de démarrage, bilans</t>
        </is>
      </c>
      <c r="C24" s="8" t="inlineStr">
        <is>
          <t>14 onglets</t>
        </is>
      </c>
      <c r="D24" s="9" t="n"/>
      <c r="E24" s="10">
        <f>IF(D24="","",14*D24)</f>
        <v/>
      </c>
    </row>
    <row r="25" ht="26" customHeight="1">
      <c r="A25" s="6" t="inlineStr">
        <is>
          <t>Espace Gestionnaire</t>
        </is>
      </c>
      <c r="B25" s="7" t="inlineStr">
        <is>
          <t>Traitement administratif des inscriptions, dossiers, encaissements, requêtes, exports</t>
        </is>
      </c>
      <c r="C25" s="8" t="inlineStr">
        <is>
          <t>8 onglets</t>
        </is>
      </c>
      <c r="D25" s="9" t="n"/>
      <c r="E25" s="10">
        <f>IF(D25="","",8*D25)</f>
        <v/>
      </c>
    </row>
    <row r="26" ht="26" customHeight="1">
      <c r="A26" s="6" t="inlineStr">
        <is>
          <t>Espace Data Collector</t>
        </is>
      </c>
      <c r="B26" s="7" t="inlineStr">
        <is>
          <t>Collecte, import de fichiers, contrôle qualité des données, historique des corrections</t>
        </is>
      </c>
      <c r="C26" s="8" t="inlineStr">
        <is>
          <t>8 onglets</t>
        </is>
      </c>
      <c r="D26" s="9" t="n"/>
      <c r="E26" s="10">
        <f>IF(D26="","",8*D26)</f>
        <v/>
      </c>
    </row>
    <row r="27">
      <c r="A27" s="11" t="inlineStr">
        <is>
          <t>SOUS-TOTAL LOT C</t>
        </is>
      </c>
      <c r="E27" s="12">
        <f>SUM(E23:E26)</f>
        <v/>
      </c>
    </row>
    <row r="29" ht="18" customHeight="1">
      <c r="A29" s="5" t="inlineStr">
        <is>
          <t>— LOT D — CHAÎNE PÉDAGOGIQUE —</t>
        </is>
      </c>
    </row>
    <row r="30" ht="26" customHeight="1">
      <c r="A30" s="6" t="inlineStr">
        <is>
          <t>Espace Superviseur global</t>
        </is>
      </c>
      <c r="B30" s="7" t="inlineStr">
        <is>
          <t>Observation de cours sur barème, cahiers des coachs, classement par catégorie, anomalies, gestion des deputies</t>
        </is>
      </c>
      <c r="C30" s="8" t="inlineStr">
        <is>
          <t>13 onglets</t>
        </is>
      </c>
      <c r="D30" s="9" t="n"/>
      <c r="E30" s="10">
        <f>IF(D30="","",13*D30)</f>
        <v/>
      </c>
    </row>
    <row r="31" ht="26" customHeight="1">
      <c r="A31" s="6" t="inlineStr">
        <is>
          <t>Espace Deputy Superviseur</t>
        </is>
      </c>
      <c r="B31" s="7" t="inlineStr">
        <is>
          <t>Variante réduite du précédent : missions, observations, rapports — même écran, navigation restreinte</t>
        </is>
      </c>
      <c r="C31" s="8" t="inlineStr">
        <is>
          <t>9 onglets</t>
        </is>
      </c>
      <c r="D31" s="9" t="n"/>
      <c r="E31" s="10">
        <f>IF(D31="","",9*D31)</f>
        <v/>
      </c>
    </row>
    <row r="32" ht="26" customHeight="1">
      <c r="A32" s="6" t="inlineStr">
        <is>
          <t>Espace Conseiller pédagogique</t>
        </is>
      </c>
      <c r="B32" s="7" t="inlineStr">
        <is>
          <t>Classes privées, affectation des coachs, remplacements, validation des honoraires, évaluations</t>
        </is>
      </c>
      <c r="C32" s="8" t="inlineStr">
        <is>
          <t>14 onglets</t>
        </is>
      </c>
      <c r="D32" s="9" t="n"/>
      <c r="E32" s="10">
        <f>IF(D32="","",14*D32)</f>
        <v/>
      </c>
    </row>
    <row r="33" ht="26" customHeight="1">
      <c r="A33" s="6" t="inlineStr">
        <is>
          <t>Espace Agent placement test</t>
        </is>
      </c>
      <c r="B33" s="7" t="inlineStr">
        <is>
          <t>File de correction, administration du test en ligne et en présentiel, demandes de transfert</t>
        </is>
      </c>
      <c r="C33" s="8" t="inlineStr">
        <is>
          <t>8 onglets</t>
        </is>
      </c>
      <c r="D33" s="9" t="n"/>
      <c r="E33" s="10">
        <f>IF(D33="","",8*D33)</f>
        <v/>
      </c>
    </row>
    <row r="34" ht="26" customHeight="1">
      <c r="A34" s="6" t="inlineStr">
        <is>
          <t>Espace Coach</t>
        </is>
      </c>
      <c r="B34" s="7" t="inlineStr">
        <is>
          <t>Classes, présences, évaluations, contenus, séance live, disponibilités, honoraires, demandes</t>
        </is>
      </c>
      <c r="C34" s="8" t="inlineStr">
        <is>
          <t>17 onglets</t>
        </is>
      </c>
      <c r="D34" s="9" t="n"/>
      <c r="E34" s="10">
        <f>IF(D34="","",17*D34)</f>
        <v/>
      </c>
    </row>
    <row r="35">
      <c r="A35" s="11" t="inlineStr">
        <is>
          <t>SOUS-TOTAL LOT D</t>
        </is>
      </c>
      <c r="E35" s="12">
        <f>SUM(E30:E34)</f>
        <v/>
      </c>
    </row>
    <row r="37" ht="18" customHeight="1">
      <c r="A37" s="5" t="inlineStr">
        <is>
          <t>— LOT E — FINANCE ET RESSOURCES HUMAINES —</t>
        </is>
      </c>
    </row>
    <row r="38" ht="26" customHeight="1">
      <c r="A38" s="6" t="inlineStr">
        <is>
          <t>Espace Comptable</t>
        </is>
      </c>
      <c r="B38" s="7" t="inlineStr">
        <is>
          <t>Facturation, trésorerie, fournisseurs, comptabilité générale, TVA, immobilisations, budgets, analytique, exports</t>
        </is>
      </c>
      <c r="C38" s="8" t="inlineStr">
        <is>
          <t>16 onglets</t>
        </is>
      </c>
      <c r="D38" s="9" t="n"/>
      <c r="E38" s="10">
        <f>IF(D38="","",16*D38)</f>
        <v/>
      </c>
    </row>
    <row r="39" ht="26" customHeight="1">
      <c r="A39" s="6" t="inlineStr">
        <is>
          <t>Espace RH &amp; Paie</t>
        </is>
      </c>
      <c r="B39" s="7" t="inlineStr">
        <is>
          <t>Grille tarifaire des honoraires, dossiers et contrats des coachs, bulletins de paie</t>
        </is>
      </c>
      <c r="C39" s="8" t="inlineStr">
        <is>
          <t>7 onglets</t>
        </is>
      </c>
      <c r="D39" s="9" t="n"/>
      <c r="E39" s="10">
        <f>IF(D39="","",7*D39)</f>
        <v/>
      </c>
    </row>
    <row r="40">
      <c r="A40" s="11" t="inlineStr">
        <is>
          <t>SOUS-TOTAL LOT E</t>
        </is>
      </c>
      <c r="E40" s="12">
        <f>SUM(E38:E39)</f>
        <v/>
      </c>
    </row>
    <row r="42" ht="18" customHeight="1">
      <c r="A42" s="5" t="inlineStr">
        <is>
          <t>— LOT F — RELATION CLIENT —</t>
        </is>
      </c>
    </row>
    <row r="43" ht="26" customHeight="1">
      <c r="A43" s="6" t="inlineStr">
        <is>
          <t>Espace Customer Care</t>
        </is>
      </c>
      <c r="B43" s="7" t="inlineStr">
        <is>
          <t>Réception, qualification et traitement des plaintes</t>
        </is>
      </c>
      <c r="C43" s="8" t="inlineStr">
        <is>
          <t>5 onglets</t>
        </is>
      </c>
      <c r="D43" s="9" t="n"/>
      <c r="E43" s="10">
        <f>IF(D43="","",5*D43)</f>
        <v/>
      </c>
    </row>
    <row r="44" ht="26" customHeight="1">
      <c r="A44" s="6" t="inlineStr">
        <is>
          <t>Espace Assistante SAV</t>
        </is>
      </c>
      <c r="B44" s="7" t="inlineStr">
        <is>
          <t>Demandes de service après-vente (Remboursements et Suivi satisfaction en option, voir plus bas)</t>
        </is>
      </c>
      <c r="C44" s="8" t="inlineStr">
        <is>
          <t>5 onglets</t>
        </is>
      </c>
      <c r="D44" s="9" t="n"/>
      <c r="E44" s="10">
        <f>IF(D44="","",5*D44)</f>
        <v/>
      </c>
    </row>
    <row r="45">
      <c r="A45" s="11" t="inlineStr">
        <is>
          <t>SOUS-TOTAL LOT F</t>
        </is>
      </c>
      <c r="E45" s="12">
        <f>SUM(E43:E44)</f>
        <v/>
      </c>
    </row>
    <row r="47" ht="18" customHeight="1">
      <c r="A47" s="5" t="inlineStr">
        <is>
          <t>— LOT G — ESPACES UTILISATEURS —</t>
        </is>
      </c>
    </row>
    <row r="48" ht="26" customHeight="1">
      <c r="A48" s="6" t="inlineStr">
        <is>
          <t>Espace Apprenant</t>
        </is>
      </c>
      <c r="B48" s="7" t="inlineStr">
        <is>
          <t>Cours, planning, présences, devoirs, résultats, séance live, gamification, mini-jeux, paiement en ligne, boutique</t>
        </is>
      </c>
      <c r="C48" s="8" t="inlineStr">
        <is>
          <t>20 onglets</t>
        </is>
      </c>
      <c r="D48" s="9" t="n"/>
      <c r="E48" s="10">
        <f>IF(D48="","",20*D48)</f>
        <v/>
      </c>
    </row>
    <row r="49" ht="26" customHeight="1">
      <c r="A49" s="6" t="inlineStr">
        <is>
          <t>Espace Parent</t>
        </is>
      </c>
      <c r="B49" s="7" t="inlineStr">
        <is>
          <t>Suivi de l'enfant : séances, présences, devoirs, résultats, évaluation du coach, paiement</t>
        </is>
      </c>
      <c r="C49" s="8" t="inlineStr">
        <is>
          <t>10 onglets</t>
        </is>
      </c>
      <c r="D49" s="9" t="n"/>
      <c r="E49" s="10">
        <f>IF(D49="","",10*D49)</f>
        <v/>
      </c>
    </row>
    <row r="50">
      <c r="A50" s="11" t="inlineStr">
        <is>
          <t>SOUS-TOTAL LOT G</t>
        </is>
      </c>
      <c r="E50" s="12">
        <f>SUM(E48:E49)</f>
        <v/>
      </c>
    </row>
    <row r="52" ht="18" customHeight="1">
      <c r="A52" s="5" t="inlineStr">
        <is>
          <t>— LOT H — MODULES TRANSVERSES —</t>
        </is>
      </c>
    </row>
    <row r="53" ht="26" customHeight="1">
      <c r="A53" s="6" t="inlineStr">
        <is>
          <t>Modules hors tableau de bord</t>
        </is>
      </c>
      <c r="B53" s="7" t="inlineStr">
        <is>
          <t>Cours, bulletins, examens, salles, classes, sessions, statistiques, outils, test de niveau, traçabilité</t>
        </is>
      </c>
      <c r="C53" s="8" t="inlineStr">
        <is>
          <t>15 modules</t>
        </is>
      </c>
      <c r="D53" s="9" t="n"/>
      <c r="E53" s="10">
        <f>IF(D53="","",15*D53)</f>
        <v/>
      </c>
    </row>
    <row r="54">
      <c r="A54" s="11" t="inlineStr">
        <is>
          <t>SOUS-TOTAL LOT H</t>
        </is>
      </c>
      <c r="E54" s="12">
        <f>SUM(E53:E53)</f>
        <v/>
      </c>
    </row>
    <row r="56" ht="18" customHeight="1">
      <c r="A56" s="5" t="inlineStr">
        <is>
          <t>— LOT I — CIRCUITS INTER-MÉTIERS —</t>
        </is>
      </c>
    </row>
    <row r="57" ht="26" customHeight="1">
      <c r="A57" s="6" t="inlineStr">
        <is>
          <t>Circuits traversant plusieurs espaces</t>
        </is>
      </c>
      <c r="B57" s="7" t="inlineStr">
        <is>
          <t>Demande de transfert, test de niveau, observation et catégorie de contrat, échéancier et relances, honoraires, kick-off</t>
        </is>
      </c>
      <c r="C57" s="8" t="inlineStr">
        <is>
          <t>6 circuits</t>
        </is>
      </c>
      <c r="D57" s="9" t="n"/>
      <c r="E57" s="10">
        <f>IF(D57="","",6*D57)</f>
        <v/>
      </c>
    </row>
    <row r="58">
      <c r="A58" s="11" t="inlineStr">
        <is>
          <t>SOUS-TOTAL LOT I</t>
        </is>
      </c>
      <c r="E58" s="12">
        <f>SUM(E57:E57)</f>
        <v/>
      </c>
    </row>
    <row r="60" ht="18" customHeight="1">
      <c r="A60" s="5" t="inlineStr">
        <is>
          <t>— OPTIONS ET ÉVOLUTIONS —</t>
        </is>
      </c>
    </row>
    <row r="61" ht="26" customHeight="1">
      <c r="A61" s="13" t="inlineStr">
        <is>
          <t>Migration en ligne ↔ présentiel</t>
        </is>
      </c>
      <c r="B61" s="7" t="inlineStr">
        <is>
          <t>NON RÉALISÉ. Changement de canal avec ajustement de la mensualité au mois suivant — 5 ruptures identifiées, 3 décisions en attente</t>
        </is>
      </c>
      <c r="C61" s="8" t="inlineStr">
        <is>
          <t>1 forfait</t>
        </is>
      </c>
      <c r="D61" s="9" t="n"/>
      <c r="E61" s="10">
        <f>IF(D61="","",1*D61)</f>
        <v/>
      </c>
    </row>
    <row r="62" ht="26" customHeight="1">
      <c r="A62" s="13" t="inlineStr">
        <is>
          <t>SAV — Remboursements</t>
        </is>
      </c>
      <c r="B62" s="7" t="inlineStr">
        <is>
          <t>ÉBAUCHE. Écran présent, backend à concevoir et à connecter</t>
        </is>
      </c>
      <c r="C62" s="8" t="inlineStr">
        <is>
          <t>1 forfait</t>
        </is>
      </c>
      <c r="D62" s="9" t="n"/>
      <c r="E62" s="10">
        <f>IF(D62="","",1*D62)</f>
        <v/>
      </c>
    </row>
    <row r="63" ht="26" customHeight="1">
      <c r="A63" s="13" t="inlineStr">
        <is>
          <t>SAV — Suivi satisfaction</t>
        </is>
      </c>
      <c r="B63" s="7" t="inlineStr">
        <is>
          <t>ÉBAUCHE. Écran présent, backend à concevoir et à connecter</t>
        </is>
      </c>
      <c r="C63" s="8" t="inlineStr">
        <is>
          <t>1 forfait</t>
        </is>
      </c>
      <c r="D63" s="9" t="n"/>
      <c r="E63" s="10">
        <f>IF(D63="","",1*D63)</f>
        <v/>
      </c>
    </row>
    <row r="64" ht="26" customHeight="1">
      <c r="A64" s="6" t="inlineStr">
        <is>
          <t>Reprise des données existantes</t>
        </is>
      </c>
      <c r="B64" s="7" t="inlineStr">
        <is>
          <t>Import des dossiers, apprenants, classes et paiements depuis les fichiers actuels</t>
        </is>
      </c>
      <c r="C64" s="8" t="inlineStr">
        <is>
          <t>1 forfait</t>
        </is>
      </c>
      <c r="D64" s="9" t="n"/>
      <c r="E64" s="10">
        <f>IF(D64="","",1*D64)</f>
        <v/>
      </c>
    </row>
    <row r="65" ht="26" customHeight="1">
      <c r="A65" s="6" t="inlineStr">
        <is>
          <t>Formation des équipes</t>
        </is>
      </c>
      <c r="B65" s="7" t="inlineStr">
        <is>
          <t>Sessions par métier : commerciale, onboarding, pédagogie, finance, coachs</t>
        </is>
      </c>
      <c r="C65" s="8" t="inlineStr">
        <is>
          <t>1 forfait</t>
        </is>
      </c>
      <c r="D65" s="9" t="n"/>
      <c r="E65" s="10">
        <f>IF(D65="","",1*D65)</f>
        <v/>
      </c>
    </row>
    <row r="66" ht="26" customHeight="1">
      <c r="A66" s="6" t="inlineStr">
        <is>
          <t>Documentation utilisateur</t>
        </is>
      </c>
      <c r="B66" s="7" t="inlineStr">
        <is>
          <t>Guide par profil, en français</t>
        </is>
      </c>
      <c r="C66" s="8" t="inlineStr">
        <is>
          <t>1 livrable</t>
        </is>
      </c>
      <c r="D66" s="9" t="n"/>
      <c r="E66" s="10">
        <f>IF(D66="","",1*D66)</f>
        <v/>
      </c>
    </row>
    <row r="67" ht="26" customHeight="1">
      <c r="A67" s="6" t="inlineStr">
        <is>
          <t>Maintenance corrective</t>
        </is>
      </c>
      <c r="B67" s="7" t="inlineStr">
        <is>
          <t>Correction des anomalies après livraison, sans surcoût</t>
        </is>
      </c>
      <c r="C67" s="8" t="inlineStr">
        <is>
          <t>3 mois</t>
        </is>
      </c>
      <c r="D67" s="9" t="n"/>
      <c r="E67" s="10">
        <f>IF(D67="","",3*D67)</f>
        <v/>
      </c>
    </row>
    <row r="68" ht="26" customHeight="1">
      <c r="A68" s="6" t="inlineStr">
        <is>
          <t>Support prioritaire</t>
        </is>
      </c>
      <c r="B68" s="7" t="inlineStr">
        <is>
          <t>Réponse sous délai convenu, corrections et ajustements</t>
        </is>
      </c>
      <c r="C68" s="8" t="inlineStr">
        <is>
          <t>6 mois</t>
        </is>
      </c>
      <c r="D68" s="9" t="n"/>
      <c r="E68" s="10">
        <f>IF(D68="","",6*D68)</f>
        <v/>
      </c>
    </row>
    <row r="69">
      <c r="A69" s="11" t="inlineStr">
        <is>
          <t>SOUS-TOTAL OPTIONS</t>
        </is>
      </c>
      <c r="E69" s="12">
        <f>SUM(E61:E68)</f>
        <v/>
      </c>
    </row>
    <row r="72" ht="26" customHeight="1">
      <c r="A72" s="14" t="inlineStr">
        <is>
          <t>TOTAL GÉNÉRAL (FCFA)</t>
        </is>
      </c>
      <c r="E72" s="15">
        <f>E14+E20+E27+E35+E40+E45+E50+E54+E58+E69</f>
        <v/>
      </c>
    </row>
    <row r="74" ht="26" customHeight="1">
      <c r="A74" s="16" t="inlineStr">
        <is>
          <t>•  Les quantités en « onglets » comptent les écrans de navigation principale de chaque espace, relevés un par un : le détail est dans la feuille « Onglets par profil ».</t>
        </is>
      </c>
    </row>
    <row r="75" ht="26" customHeight="1">
      <c r="A75" s="16" t="inlineStr">
        <is>
          <t>•  Deux espaces ne sont pas des développements neufs : le Deputy Superviseur est une variante de navigation du Superviseur global sur le même écran, et le profil Marketing ouvre le tableau de bord Super Admin — il ne figure donc pas dans cette offre.</t>
        </is>
      </c>
    </row>
    <row r="76" ht="26" customHeight="1">
      <c r="A76" s="16" t="inlineStr">
        <is>
          <t>•  Les trois premières lignes des options sont du reste à faire : la migration en ligne ↔ présentiel n'existe pas, et les deux écrans SAV attendent leur backend. Le code le dit lui-même.</t>
        </is>
      </c>
    </row>
    <row r="77" ht="26" customHeight="1">
      <c r="A77" s="16" t="inlineStr">
        <is>
          <t>•  Aucun prix n'a été porté dans ce document : il ne se lit pas dans le code. Renseignez la colonne « Prix unitaire », les totaux, sous-totaux et total général se calculent seuls.</t>
        </is>
      </c>
    </row>
  </sheetData>
  <mergeCells count="27">
    <mergeCell ref="A77:E77"/>
    <mergeCell ref="A35:D35"/>
    <mergeCell ref="A20:D20"/>
    <mergeCell ref="A60:E60"/>
    <mergeCell ref="A72:D72"/>
    <mergeCell ref="A6:E6"/>
    <mergeCell ref="A40:D40"/>
    <mergeCell ref="A58:D58"/>
    <mergeCell ref="A16:E16"/>
    <mergeCell ref="A37:E37"/>
    <mergeCell ref="A75:E75"/>
    <mergeCell ref="A74:E74"/>
    <mergeCell ref="A56:E56"/>
    <mergeCell ref="A3:E3"/>
    <mergeCell ref="A45:D45"/>
    <mergeCell ref="A2:E2"/>
    <mergeCell ref="A69:D69"/>
    <mergeCell ref="A42:E42"/>
    <mergeCell ref="A76:E76"/>
    <mergeCell ref="A54:D54"/>
    <mergeCell ref="A47:E47"/>
    <mergeCell ref="A22:E22"/>
    <mergeCell ref="A29:E29"/>
    <mergeCell ref="A27:D27"/>
    <mergeCell ref="A50:D50"/>
    <mergeCell ref="A52:E5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32" customWidth="1" min="3" max="3"/>
    <col width="34" customWidth="1" min="4" max="4"/>
    <col width="9" customWidth="1" min="5" max="5"/>
    <col width="9" customWidth="1" min="6" max="6"/>
    <col width="13" customWidth="1" min="7" max="7"/>
    <col width="11" customWidth="1" min="8" max="8"/>
    <col width="40" customWidth="1" min="9" max="9"/>
  </cols>
  <sheetData>
    <row r="1">
      <c r="A1" s="17" t="inlineStr">
        <is>
          <t>BINNIE'S ENGLISH TRAINING</t>
        </is>
      </c>
    </row>
    <row r="2" ht="28" customHeight="1">
      <c r="A2" s="18" t="inlineStr">
        <is>
          <t>Inventaire des tableaux de bord</t>
        </is>
      </c>
    </row>
    <row r="3">
      <c r="A3" s="19" t="inlineStr">
        <is>
          <t>Profils, espaces, onglets et fonctionnalités de l'application « dash », relevés dans le code source.</t>
        </is>
      </c>
    </row>
    <row r="4">
      <c r="A4" s="20" t="inlineStr">
        <is>
          <t>Relevé du 28 septembre 2026  ·  application React  ·  174 fichiers  ·  156 305 lignes</t>
        </is>
      </c>
    </row>
    <row r="6" ht="26" customHeight="1">
      <c r="A6" s="21" t="n">
        <v>19</v>
      </c>
      <c r="B6" s="21" t="n">
        <v>17</v>
      </c>
      <c r="C6" s="21" t="n">
        <v>223</v>
      </c>
      <c r="D6" s="21" t="n">
        <v>303</v>
      </c>
      <c r="E6" s="21" t="n">
        <v>15</v>
      </c>
      <c r="F6" s="21" t="n">
        <v>46</v>
      </c>
    </row>
    <row r="7">
      <c r="A7" s="22" t="inlineStr">
        <is>
          <t>profils</t>
        </is>
      </c>
      <c r="B7" s="22" t="inlineStr">
        <is>
          <t>espaces distincts</t>
        </is>
      </c>
      <c r="C7" s="22" t="inlineStr">
        <is>
          <t>onglets</t>
        </is>
      </c>
      <c r="D7" s="22" t="inlineStr">
        <is>
          <t>points d'API appelés</t>
        </is>
      </c>
      <c r="E7" s="22" t="inlineStr">
        <is>
          <t>modules transverses</t>
        </is>
      </c>
      <c r="F7" s="22" t="inlineStr">
        <is>
          <t>composants partagés</t>
        </is>
      </c>
    </row>
    <row r="9" ht="26" customHeight="1">
      <c r="A9" s="23" t="inlineStr">
        <is>
          <t>Profil</t>
        </is>
      </c>
      <c r="B9" s="23" t="inlineStr">
        <is>
          <t>Rôle technique</t>
        </is>
      </c>
      <c r="C9" s="23" t="inlineStr">
        <is>
          <t>Adresse d'entrée</t>
        </is>
      </c>
      <c r="D9" s="23" t="inlineStr">
        <is>
          <t>Fichier</t>
        </is>
      </c>
      <c r="E9" s="23" t="inlineStr">
        <is>
          <t>Lignes</t>
        </is>
      </c>
      <c r="F9" s="23" t="inlineStr">
        <is>
          <t>Onglets</t>
        </is>
      </c>
      <c r="G9" s="24" t="inlineStr">
        <is>
          <t>Complexité</t>
        </is>
      </c>
      <c r="H9" s="24" t="inlineStr">
        <is>
          <t>Charge (j)</t>
        </is>
      </c>
      <c r="I9" s="24" t="inlineStr">
        <is>
          <t>Commentaire</t>
        </is>
      </c>
    </row>
    <row r="10">
      <c r="A10" s="25" t="inlineStr">
        <is>
          <t>Super Admin</t>
        </is>
      </c>
      <c r="B10" s="26" t="inlineStr">
        <is>
          <t>super_admin</t>
        </is>
      </c>
      <c r="C10" s="26" t="inlineStr">
        <is>
          <t>/dashboard/superAdmin</t>
        </is>
      </c>
      <c r="D10" s="26" t="inlineStr">
        <is>
          <t>SuperAdminDashboard.jsx</t>
        </is>
      </c>
      <c r="E10" s="26" t="n">
        <v>22433</v>
      </c>
      <c r="F10" s="26" t="n">
        <v>23</v>
      </c>
      <c r="G10" s="27" t="inlineStr"/>
      <c r="H10" s="27" t="inlineStr"/>
      <c r="I10" s="27" t="inlineStr"/>
    </row>
    <row r="11">
      <c r="A11" s="28" t="inlineStr">
        <is>
          <t>Marketing</t>
        </is>
      </c>
      <c r="B11" s="29" t="inlineStr">
        <is>
          <t>marketing</t>
        </is>
      </c>
      <c r="C11" s="29" t="inlineStr">
        <is>
          <t>/marketing-dashboard</t>
        </is>
      </c>
      <c r="D11" s="29" t="inlineStr">
        <is>
          <t>SuperAdminDashboard.jsx (partagé)</t>
        </is>
      </c>
      <c r="E11" s="29" t="inlineStr">
        <is>
          <t>partagé</t>
        </is>
      </c>
      <c r="F11" s="29" t="inlineStr">
        <is>
          <t>—</t>
        </is>
      </c>
      <c r="G11" s="27" t="inlineStr"/>
      <c r="H11" s="27" t="inlineStr"/>
      <c r="I11" s="27" t="inlineStr"/>
    </row>
    <row r="12">
      <c r="A12" s="25" t="inlineStr">
        <is>
          <t>Administrateur</t>
        </is>
      </c>
      <c r="B12" s="26" t="inlineStr">
        <is>
          <t>admin</t>
        </is>
      </c>
      <c r="C12" s="26" t="inlineStr">
        <is>
          <t>/AdminDashboard</t>
        </is>
      </c>
      <c r="D12" s="26" t="inlineStr">
        <is>
          <t>AdminDashboard.jsx</t>
        </is>
      </c>
      <c r="E12" s="26" t="n">
        <v>20008</v>
      </c>
      <c r="F12" s="26" t="n">
        <v>18</v>
      </c>
      <c r="G12" s="27" t="inlineStr"/>
      <c r="H12" s="27" t="inlineStr"/>
      <c r="I12" s="27" t="inlineStr"/>
    </row>
    <row r="13">
      <c r="A13" s="28" t="inlineStr">
        <is>
          <t>Manager</t>
        </is>
      </c>
      <c r="B13" s="29" t="inlineStr">
        <is>
          <t>manager</t>
        </is>
      </c>
      <c r="C13" s="29" t="inlineStr">
        <is>
          <t>/manager-dashboard</t>
        </is>
      </c>
      <c r="D13" s="29" t="inlineStr">
        <is>
          <t>ManagerDashboard.jsx</t>
        </is>
      </c>
      <c r="E13" s="29" t="n">
        <v>781</v>
      </c>
      <c r="F13" s="29" t="n">
        <v>8</v>
      </c>
      <c r="G13" s="27" t="inlineStr"/>
      <c r="H13" s="27" t="inlineStr"/>
      <c r="I13" s="27" t="inlineStr"/>
    </row>
    <row r="14">
      <c r="A14" s="25" t="inlineStr">
        <is>
          <t>Superviseur global</t>
        </is>
      </c>
      <c r="B14" s="26" t="inlineStr">
        <is>
          <t>superviseur</t>
        </is>
      </c>
      <c r="C14" s="26" t="inlineStr">
        <is>
          <t>/superviseur-dashboard</t>
        </is>
      </c>
      <c r="D14" s="26" t="inlineStr">
        <is>
          <t>SuperviseurDashboard.jsx</t>
        </is>
      </c>
      <c r="E14" s="26" t="n">
        <v>5022</v>
      </c>
      <c r="F14" s="26" t="n">
        <v>13</v>
      </c>
      <c r="G14" s="27" t="inlineStr"/>
      <c r="H14" s="27" t="inlineStr"/>
      <c r="I14" s="27" t="inlineStr"/>
    </row>
    <row r="15">
      <c r="A15" s="28" t="inlineStr">
        <is>
          <t>Deputy Superviseur</t>
        </is>
      </c>
      <c r="B15" s="29" t="inlineStr">
        <is>
          <t>deputy_superviseur</t>
        </is>
      </c>
      <c r="C15" s="29" t="inlineStr">
        <is>
          <t>/superviseur-dashboard</t>
        </is>
      </c>
      <c r="D15" s="29" t="inlineStr">
        <is>
          <t>SuperviseurDashboard.jsx (variante)</t>
        </is>
      </c>
      <c r="E15" s="29" t="inlineStr">
        <is>
          <t>partagé</t>
        </is>
      </c>
      <c r="F15" s="29" t="n">
        <v>9</v>
      </c>
      <c r="G15" s="27" t="inlineStr"/>
      <c r="H15" s="27" t="inlineStr"/>
      <c r="I15" s="27" t="inlineStr"/>
    </row>
    <row r="16">
      <c r="A16" s="25" t="inlineStr">
        <is>
          <t>Conseiller pédagogique</t>
        </is>
      </c>
      <c r="B16" s="26" t="inlineStr">
        <is>
          <t>pedagogical_advisor</t>
        </is>
      </c>
      <c r="C16" s="26" t="inlineStr">
        <is>
          <t>/pedagogical-advisor-dashboard</t>
        </is>
      </c>
      <c r="D16" s="26" t="inlineStr">
        <is>
          <t>PedagogicalAdvisorDashboard.jsx</t>
        </is>
      </c>
      <c r="E16" s="26" t="n">
        <v>12902</v>
      </c>
      <c r="F16" s="26" t="n">
        <v>14</v>
      </c>
      <c r="G16" s="27" t="inlineStr"/>
      <c r="H16" s="27" t="inlineStr"/>
      <c r="I16" s="27" t="inlineStr"/>
    </row>
    <row r="17">
      <c r="A17" s="28" t="inlineStr">
        <is>
          <t>Assistante commerciale</t>
        </is>
      </c>
      <c r="B17" s="29" t="inlineStr">
        <is>
          <t>commercial</t>
        </is>
      </c>
      <c r="C17" s="29" t="inlineStr">
        <is>
          <t>/commercial-dashboard</t>
        </is>
      </c>
      <c r="D17" s="29" t="inlineStr">
        <is>
          <t>CommercialDashboard.jsx</t>
        </is>
      </c>
      <c r="E17" s="29" t="n">
        <v>17938</v>
      </c>
      <c r="F17" s="29" t="n">
        <v>18</v>
      </c>
      <c r="G17" s="27" t="inlineStr"/>
      <c r="H17" s="27" t="inlineStr"/>
      <c r="I17" s="27" t="inlineStr"/>
    </row>
    <row r="18">
      <c r="A18" s="25" t="inlineStr">
        <is>
          <t>Assistante onboarding</t>
        </is>
      </c>
      <c r="B18" s="26" t="inlineStr">
        <is>
          <t>onboarding</t>
        </is>
      </c>
      <c r="C18" s="26" t="inlineStr">
        <is>
          <t>/onboarding-dashboard</t>
        </is>
      </c>
      <c r="D18" s="26" t="inlineStr">
        <is>
          <t>OnboardingDashboard.jsx</t>
        </is>
      </c>
      <c r="E18" s="26" t="n">
        <v>10984</v>
      </c>
      <c r="F18" s="26" t="n">
        <v>14</v>
      </c>
      <c r="G18" s="27" t="inlineStr"/>
      <c r="H18" s="27" t="inlineStr"/>
      <c r="I18" s="27" t="inlineStr"/>
    </row>
    <row r="19">
      <c r="A19" s="28" t="inlineStr">
        <is>
          <t>Agent placement test</t>
        </is>
      </c>
      <c r="B19" s="29" t="inlineStr">
        <is>
          <t>placement_test</t>
        </is>
      </c>
      <c r="C19" s="29" t="inlineStr">
        <is>
          <t>/placement-test-dashboard</t>
        </is>
      </c>
      <c r="D19" s="29" t="inlineStr">
        <is>
          <t>PlacementTestDashboard.jsx</t>
        </is>
      </c>
      <c r="E19" s="29" t="n">
        <v>1010</v>
      </c>
      <c r="F19" s="29" t="n">
        <v>8</v>
      </c>
      <c r="G19" s="27" t="inlineStr"/>
      <c r="H19" s="27" t="inlineStr"/>
      <c r="I19" s="27" t="inlineStr"/>
    </row>
    <row r="20">
      <c r="A20" s="25" t="inlineStr">
        <is>
          <t>Gestionnaire</t>
        </is>
      </c>
      <c r="B20" s="26" t="inlineStr">
        <is>
          <t>gestionnaire</t>
        </is>
      </c>
      <c r="C20" s="26" t="inlineStr">
        <is>
          <t>/gestionnaire-dashboard</t>
        </is>
      </c>
      <c r="D20" s="26" t="inlineStr">
        <is>
          <t>GestionnaireDashboard.jsx</t>
        </is>
      </c>
      <c r="E20" s="26" t="n">
        <v>750</v>
      </c>
      <c r="F20" s="26" t="n">
        <v>8</v>
      </c>
      <c r="G20" s="27" t="inlineStr"/>
      <c r="H20" s="27" t="inlineStr"/>
      <c r="I20" s="27" t="inlineStr"/>
    </row>
    <row r="21">
      <c r="A21" s="28" t="inlineStr">
        <is>
          <t>Comptable</t>
        </is>
      </c>
      <c r="B21" s="29" t="inlineStr">
        <is>
          <t>comptable</t>
        </is>
      </c>
      <c r="C21" s="29" t="inlineStr">
        <is>
          <t>/comptable-dashboard</t>
        </is>
      </c>
      <c r="D21" s="29" t="inlineStr">
        <is>
          <t>ComptableDashboard.jsx</t>
        </is>
      </c>
      <c r="E21" s="29" t="n">
        <v>1883</v>
      </c>
      <c r="F21" s="29" t="n">
        <v>16</v>
      </c>
      <c r="G21" s="27" t="inlineStr"/>
      <c r="H21" s="27" t="inlineStr"/>
      <c r="I21" s="27" t="inlineStr"/>
    </row>
    <row r="22">
      <c r="A22" s="25" t="inlineStr">
        <is>
          <t>RH &amp; Paie</t>
        </is>
      </c>
      <c r="B22" s="26" t="inlineStr">
        <is>
          <t>rh</t>
        </is>
      </c>
      <c r="C22" s="26" t="inlineStr">
        <is>
          <t>/rh-paie-dashboard</t>
        </is>
      </c>
      <c r="D22" s="26" t="inlineStr">
        <is>
          <t>RHPaieDashboard.jsx</t>
        </is>
      </c>
      <c r="E22" s="26" t="n">
        <v>927</v>
      </c>
      <c r="F22" s="26" t="n">
        <v>7</v>
      </c>
      <c r="G22" s="27" t="inlineStr"/>
      <c r="H22" s="27" t="inlineStr"/>
      <c r="I22" s="27" t="inlineStr"/>
    </row>
    <row r="23">
      <c r="A23" s="28" t="inlineStr">
        <is>
          <t>Customer Care</t>
        </is>
      </c>
      <c r="B23" s="29" t="inlineStr">
        <is>
          <t>customer_care</t>
        </is>
      </c>
      <c r="C23" s="29" t="inlineStr">
        <is>
          <t>/customer-care-dashboard</t>
        </is>
      </c>
      <c r="D23" s="29" t="inlineStr">
        <is>
          <t>CustomerCareDashboard.jsx</t>
        </is>
      </c>
      <c r="E23" s="29" t="n">
        <v>862</v>
      </c>
      <c r="F23" s="29" t="n">
        <v>5</v>
      </c>
      <c r="G23" s="27" t="inlineStr"/>
      <c r="H23" s="27" t="inlineStr"/>
      <c r="I23" s="27" t="inlineStr"/>
    </row>
    <row r="24">
      <c r="A24" s="25" t="inlineStr">
        <is>
          <t>Assistante SAV</t>
        </is>
      </c>
      <c r="B24" s="26" t="inlineStr">
        <is>
          <t>assistant_sav</t>
        </is>
      </c>
      <c r="C24" s="26" t="inlineStr">
        <is>
          <t>/sav-dashboard</t>
        </is>
      </c>
      <c r="D24" s="26" t="inlineStr">
        <is>
          <t>SavDashboard.jsx</t>
        </is>
      </c>
      <c r="E24" s="26" t="n">
        <v>639</v>
      </c>
      <c r="F24" s="26" t="n">
        <v>7</v>
      </c>
      <c r="G24" s="27" t="inlineStr"/>
      <c r="H24" s="27" t="inlineStr"/>
      <c r="I24" s="27" t="inlineStr"/>
    </row>
    <row r="25">
      <c r="A25" s="28" t="inlineStr">
        <is>
          <t>Data Collector</t>
        </is>
      </c>
      <c r="B25" s="29" t="inlineStr">
        <is>
          <t>data_collector</t>
        </is>
      </c>
      <c r="C25" s="29" t="inlineStr">
        <is>
          <t>/datacollector-dashboard</t>
        </is>
      </c>
      <c r="D25" s="29" t="inlineStr">
        <is>
          <t>DataCollectorDashboard.jsx</t>
        </is>
      </c>
      <c r="E25" s="29" t="n">
        <v>1051</v>
      </c>
      <c r="F25" s="29" t="n">
        <v>8</v>
      </c>
      <c r="G25" s="27" t="inlineStr"/>
      <c r="H25" s="27" t="inlineStr"/>
      <c r="I25" s="27" t="inlineStr"/>
    </row>
    <row r="26">
      <c r="A26" s="25" t="inlineStr">
        <is>
          <t>Coach</t>
        </is>
      </c>
      <c r="B26" s="26" t="inlineStr">
        <is>
          <t>coach</t>
        </is>
      </c>
      <c r="C26" s="26" t="inlineStr">
        <is>
          <t>/espace-professeur</t>
        </is>
      </c>
      <c r="D26" s="26" t="inlineStr">
        <is>
          <t>EspaceProfesseur.jsx</t>
        </is>
      </c>
      <c r="E26" s="26" t="n">
        <v>12501</v>
      </c>
      <c r="F26" s="26" t="n">
        <v>17</v>
      </c>
      <c r="G26" s="27" t="inlineStr"/>
      <c r="H26" s="27" t="inlineStr"/>
      <c r="I26" s="27" t="inlineStr"/>
    </row>
    <row r="27">
      <c r="A27" s="28" t="inlineStr">
        <is>
          <t>Apprenant</t>
        </is>
      </c>
      <c r="B27" s="29" t="inlineStr">
        <is>
          <t>apprenant</t>
        </is>
      </c>
      <c r="C27" s="29" t="inlineStr">
        <is>
          <t>/espace-apprenant</t>
        </is>
      </c>
      <c r="D27" s="29" t="inlineStr">
        <is>
          <t>EspaceApprenant.jsx</t>
        </is>
      </c>
      <c r="E27" s="29" t="n">
        <v>7601</v>
      </c>
      <c r="F27" s="29" t="n">
        <v>20</v>
      </c>
      <c r="G27" s="27" t="inlineStr"/>
      <c r="H27" s="27" t="inlineStr"/>
      <c r="I27" s="27" t="inlineStr"/>
    </row>
    <row r="28">
      <c r="A28" s="25" t="inlineStr">
        <is>
          <t>Parent</t>
        </is>
      </c>
      <c r="B28" s="26" t="inlineStr">
        <is>
          <t>parent</t>
        </is>
      </c>
      <c r="C28" s="26" t="inlineStr">
        <is>
          <t>/dashboard/parent</t>
        </is>
      </c>
      <c r="D28" s="26" t="inlineStr">
        <is>
          <t>ParentDashboard.jsx</t>
        </is>
      </c>
      <c r="E28" s="26" t="n">
        <v>1221</v>
      </c>
      <c r="F28" s="26" t="n">
        <v>10</v>
      </c>
      <c r="G28" s="27" t="inlineStr"/>
      <c r="H28" s="27" t="inlineStr"/>
      <c r="I28" s="27" t="inlineStr"/>
    </row>
    <row r="29">
      <c r="A29" s="30" t="inlineStr">
        <is>
          <t>TOTAL</t>
        </is>
      </c>
      <c r="B29" s="30" t="inlineStr"/>
      <c r="C29" s="30" t="inlineStr"/>
      <c r="D29" s="30" t="inlineStr"/>
      <c r="E29" s="30" t="n">
        <v>156305</v>
      </c>
      <c r="F29" s="30" t="n">
        <v>223</v>
      </c>
      <c r="G29" s="30" t="inlineStr"/>
      <c r="H29" s="30" t="inlineStr"/>
      <c r="I29" s="30" t="inlineStr"/>
    </row>
    <row r="32">
      <c r="A32" s="31" t="inlineStr">
        <is>
          <t>Comment cet inventaire a été établi</t>
        </is>
      </c>
    </row>
    <row r="33" ht="30" customHeight="1">
      <c r="A33" s="32" t="inlineStr">
        <is>
          <t>Les profils viennent de la table de routage de la page de connexion du personnel ; les onglets sont relevés un par un dans le code de chaque tableau de bord, et leurs libellés sont ceux réellement affichés. C'est donc l'inventaire de ce qui EXISTE, y compris des écrans qu'aucun menu ne met en avant.</t>
        </is>
      </c>
    </row>
    <row r="34" ht="30" customHeight="1">
      <c r="A34" s="32" t="inlineStr">
        <is>
          <t>Les colonnes Complexité, Charge et Commentaire sont volontairement vides : elles sont là pour la cotation. Aucune estimation d'effort n'a été portée dans ce classeur — elle ne se lit pas dans le code, et l'y écrire lui donnerait l'apparence d'un fait relevé.</t>
        </is>
      </c>
    </row>
    <row r="35" ht="30" customHeight="1">
      <c r="A35" s="32" t="inlineStr">
        <is>
          <t>Deux profils n'ont pas d'écran propre : le rôle Marketing ouvre le tableau de bord Super Admin, et le Deputy Superviseur partage celui du Superviseur global avec une navigation réduite. Ils sont comptés comme profils, pas comme espaces.</t>
        </is>
      </c>
    </row>
    <row r="36" ht="30" customHeight="1">
      <c r="A36" s="32" t="inlineStr">
        <is>
          <t>Ne sont pas couverts : le site public binniesenglish.net (inventaire séparé du 26/09/2026), la plateforme e-learning, et le serveur — ce dernier étant sollicité par 303 points d'entrée différents depuis cette seule application.</t>
        </is>
      </c>
    </row>
  </sheetData>
  <mergeCells count="5">
    <mergeCell ref="A33:I33"/>
    <mergeCell ref="A32:I32"/>
    <mergeCell ref="A36:I36"/>
    <mergeCell ref="A34:I34"/>
    <mergeCell ref="A35:I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5" customWidth="1" min="3" max="3"/>
    <col width="27" customWidth="1" min="4" max="4"/>
    <col width="72" customWidth="1" min="5" max="5"/>
    <col width="11" customWidth="1" min="6" max="6"/>
    <col width="13" customWidth="1" min="7" max="7"/>
    <col width="11" customWidth="1" min="8" max="8"/>
    <col width="34" customWidth="1" min="9" max="9"/>
  </cols>
  <sheetData>
    <row r="1" ht="24" customHeight="1">
      <c r="A1" s="33" t="inlineStr">
        <is>
          <t>Onglets par profil</t>
        </is>
      </c>
    </row>
    <row r="2" ht="16" customHeight="1">
      <c r="A2" s="34" t="inlineStr">
        <is>
          <t>Une ligne par onglet de navigation principale. Les trois dernières colonnes sont à remplir pour la cotation.</t>
        </is>
      </c>
    </row>
    <row r="4" ht="26" customHeight="1">
      <c r="A4" s="23" t="inlineStr">
        <is>
          <t>Profil</t>
        </is>
      </c>
      <c r="B4" s="23" t="inlineStr">
        <is>
          <t>Rôle technique</t>
        </is>
      </c>
      <c r="C4" s="23" t="inlineStr">
        <is>
          <t>N°</t>
        </is>
      </c>
      <c r="D4" s="23" t="inlineStr">
        <is>
          <t>Onglet</t>
        </is>
      </c>
      <c r="E4" s="23" t="inlineStr">
        <is>
          <t>Ce qu'on y fait</t>
        </is>
      </c>
      <c r="F4" s="23" t="inlineStr">
        <is>
          <t>État</t>
        </is>
      </c>
      <c r="G4" s="24" t="inlineStr">
        <is>
          <t>Complexité</t>
        </is>
      </c>
      <c r="H4" s="24" t="inlineStr">
        <is>
          <t>Charge (j)</t>
        </is>
      </c>
      <c r="I4" s="24" t="inlineStr">
        <is>
          <t>Commentaire</t>
        </is>
      </c>
    </row>
    <row r="5">
      <c r="A5" s="28" t="inlineStr">
        <is>
          <t>Super Admin</t>
        </is>
      </c>
      <c r="B5" s="29" t="inlineStr">
        <is>
          <t>super_admin</t>
        </is>
      </c>
      <c r="C5" s="29" t="n">
        <v>1</v>
      </c>
      <c r="D5" s="29" t="inlineStr">
        <is>
          <t>Mes tâches</t>
        </is>
      </c>
      <c r="E5" s="29" t="inlineStr">
        <is>
          <t>Point d'entrée unique : agrège les compteurs « à traiter » de tous les autres onglets.</t>
        </is>
      </c>
      <c r="F5" s="35" t="inlineStr">
        <is>
          <t>Opérationnel</t>
        </is>
      </c>
      <c r="G5" s="27" t="inlineStr"/>
      <c r="H5" s="27" t="inlineStr"/>
      <c r="I5" s="27" t="inlineStr"/>
    </row>
    <row r="6">
      <c r="A6" s="25" t="inlineStr">
        <is>
          <t>Super Admin</t>
        </is>
      </c>
      <c r="B6" s="26" t="inlineStr">
        <is>
          <t>super_admin</t>
        </is>
      </c>
      <c r="C6" s="26" t="n">
        <v>2</v>
      </c>
      <c r="D6" s="26" t="inlineStr">
        <is>
          <t>Vue d'ensemble</t>
        </is>
      </c>
      <c r="E6" s="26" t="inlineStr">
        <is>
          <t>Indicateurs de synthèse de la plateforme, activité récente.</t>
        </is>
      </c>
      <c r="F6" s="36" t="inlineStr">
        <is>
          <t>Opérationnel</t>
        </is>
      </c>
      <c r="G6" s="27" t="inlineStr"/>
      <c r="H6" s="27" t="inlineStr"/>
      <c r="I6" s="27" t="inlineStr"/>
    </row>
    <row r="7">
      <c r="A7" s="28" t="inlineStr">
        <is>
          <t>Super Admin</t>
        </is>
      </c>
      <c r="B7" s="29" t="inlineStr">
        <is>
          <t>super_admin</t>
        </is>
      </c>
      <c r="C7" s="29" t="n">
        <v>3</v>
      </c>
      <c r="D7" s="29" t="inlineStr">
        <is>
          <t>Tableau de bord</t>
        </is>
      </c>
      <c r="E7" s="29" t="inlineStr">
        <is>
          <t>Tableau de bord marketing : campagnes, trafic, conversions.</t>
        </is>
      </c>
      <c r="F7" s="35" t="inlineStr">
        <is>
          <t>Opérationnel</t>
        </is>
      </c>
      <c r="G7" s="27" t="inlineStr"/>
      <c r="H7" s="27" t="inlineStr"/>
      <c r="I7" s="27" t="inlineStr"/>
    </row>
    <row r="8">
      <c r="A8" s="25" t="inlineStr">
        <is>
          <t>Super Admin</t>
        </is>
      </c>
      <c r="B8" s="26" t="inlineStr">
        <is>
          <t>super_admin</t>
        </is>
      </c>
      <c r="C8" s="26" t="n">
        <v>4</v>
      </c>
      <c r="D8" s="26" t="inlineStr">
        <is>
          <t>Cockpit KPI</t>
        </is>
      </c>
      <c r="E8" s="26" t="inlineStr">
        <is>
          <t>Référentiel d'indicateurs BET, limité à ceux dont la source est réellement alimentée.</t>
        </is>
      </c>
      <c r="F8" s="36" t="inlineStr">
        <is>
          <t>Opérationnel</t>
        </is>
      </c>
      <c r="G8" s="27" t="inlineStr"/>
      <c r="H8" s="27" t="inlineStr"/>
      <c r="I8" s="27" t="inlineStr"/>
    </row>
    <row r="9">
      <c r="A9" s="28" t="inlineStr">
        <is>
          <t>Super Admin</t>
        </is>
      </c>
      <c r="B9" s="29" t="inlineStr">
        <is>
          <t>super_admin</t>
        </is>
      </c>
      <c r="C9" s="29" t="n">
        <v>5</v>
      </c>
      <c r="D9" s="29" t="inlineStr">
        <is>
          <t>Plateforme</t>
        </is>
      </c>
      <c r="E9" s="29" t="inlineStr">
        <is>
          <t>Configuration générale : contenus du site public, paramètres, clés d'intégration.</t>
        </is>
      </c>
      <c r="F9" s="35" t="inlineStr">
        <is>
          <t>Opérationnel</t>
        </is>
      </c>
      <c r="G9" s="27" t="inlineStr"/>
      <c r="H9" s="27" t="inlineStr"/>
      <c r="I9" s="27" t="inlineStr"/>
    </row>
    <row r="10">
      <c r="A10" s="25" t="inlineStr">
        <is>
          <t>Super Admin</t>
        </is>
      </c>
      <c r="B10" s="26" t="inlineStr">
        <is>
          <t>super_admin</t>
        </is>
      </c>
      <c r="C10" s="26" t="n">
        <v>6</v>
      </c>
      <c r="D10" s="26" t="inlineStr">
        <is>
          <t>Boutique</t>
        </is>
      </c>
      <c r="E10" s="26" t="inlineStr">
        <is>
          <t>Produits, commandes, stocks de la boutique en ligne.</t>
        </is>
      </c>
      <c r="F10" s="36" t="inlineStr">
        <is>
          <t>Opérationnel</t>
        </is>
      </c>
      <c r="G10" s="27" t="inlineStr"/>
      <c r="H10" s="27" t="inlineStr"/>
      <c r="I10" s="27" t="inlineStr"/>
    </row>
    <row r="11">
      <c r="A11" s="28" t="inlineStr">
        <is>
          <t>Super Admin</t>
        </is>
      </c>
      <c r="B11" s="29" t="inlineStr">
        <is>
          <t>super_admin</t>
        </is>
      </c>
      <c r="C11" s="29" t="n">
        <v>7</v>
      </c>
      <c r="D11" s="29" t="inlineStr">
        <is>
          <t>Média</t>
        </is>
      </c>
      <c r="E11" s="29" t="inlineStr">
        <is>
          <t>Bibliothèque de médias administrable (visuels du site, carrousel).</t>
        </is>
      </c>
      <c r="F11" s="35" t="inlineStr">
        <is>
          <t>Opérationnel</t>
        </is>
      </c>
      <c r="G11" s="27" t="inlineStr"/>
      <c r="H11" s="27" t="inlineStr"/>
      <c r="I11" s="27" t="inlineStr"/>
    </row>
    <row r="12">
      <c r="A12" s="25" t="inlineStr">
        <is>
          <t>Super Admin</t>
        </is>
      </c>
      <c r="B12" s="26" t="inlineStr">
        <is>
          <t>super_admin</t>
        </is>
      </c>
      <c r="C12" s="26" t="n">
        <v>8</v>
      </c>
      <c r="D12" s="26" t="inlineStr">
        <is>
          <t>Campagnes &amp; Newsletters</t>
        </is>
      </c>
      <c r="E12" s="26" t="inlineStr">
        <is>
          <t>Rédaction et envoi des campagnes, gestion des abonnés.</t>
        </is>
      </c>
      <c r="F12" s="36" t="inlineStr">
        <is>
          <t>Opérationnel</t>
        </is>
      </c>
      <c r="G12" s="27" t="inlineStr"/>
      <c r="H12" s="27" t="inlineStr"/>
      <c r="I12" s="27" t="inlineStr"/>
    </row>
    <row r="13">
      <c r="A13" s="28" t="inlineStr">
        <is>
          <t>Super Admin</t>
        </is>
      </c>
      <c r="B13" s="29" t="inlineStr">
        <is>
          <t>super_admin</t>
        </is>
      </c>
      <c r="C13" s="29" t="n">
        <v>9</v>
      </c>
      <c r="D13" s="29" t="inlineStr">
        <is>
          <t>Trafic web</t>
        </is>
      </c>
      <c r="E13" s="29" t="inlineStr">
        <is>
          <t>Statistiques de fréquentation du site public.</t>
        </is>
      </c>
      <c r="F13" s="35" t="inlineStr">
        <is>
          <t>Opérationnel</t>
        </is>
      </c>
      <c r="G13" s="27" t="inlineStr"/>
      <c r="H13" s="27" t="inlineStr"/>
      <c r="I13" s="27" t="inlineStr"/>
    </row>
    <row r="14">
      <c r="A14" s="25" t="inlineStr">
        <is>
          <t>Super Admin</t>
        </is>
      </c>
      <c r="B14" s="26" t="inlineStr">
        <is>
          <t>super_admin</t>
        </is>
      </c>
      <c r="C14" s="26" t="n">
        <v>10</v>
      </c>
      <c r="D14" s="26" t="inlineStr">
        <is>
          <t>Clients &amp; Prospects</t>
        </is>
      </c>
      <c r="E14" s="26" t="inlineStr">
        <is>
          <t>Base complète des dossiers, toutes assistantes confondues.</t>
        </is>
      </c>
      <c r="F14" s="36" t="inlineStr">
        <is>
          <t>Opérationnel</t>
        </is>
      </c>
      <c r="G14" s="27" t="inlineStr"/>
      <c r="H14" s="27" t="inlineStr"/>
      <c r="I14" s="27" t="inlineStr"/>
    </row>
    <row r="15">
      <c r="A15" s="28" t="inlineStr">
        <is>
          <t>Super Admin</t>
        </is>
      </c>
      <c r="B15" s="29" t="inlineStr">
        <is>
          <t>super_admin</t>
        </is>
      </c>
      <c r="C15" s="29" t="n">
        <v>11</v>
      </c>
      <c r="D15" s="29" t="inlineStr">
        <is>
          <t>Apprenants</t>
        </is>
      </c>
      <c r="E15" s="29" t="inlineStr">
        <is>
          <t>Suivi transversal des apprenants inscrits : niveau, classe, assiduité.</t>
        </is>
      </c>
      <c r="F15" s="35" t="inlineStr">
        <is>
          <t>Opérationnel</t>
        </is>
      </c>
      <c r="G15" s="27" t="inlineStr"/>
      <c r="H15" s="27" t="inlineStr"/>
      <c r="I15" s="27" t="inlineStr"/>
    </row>
    <row r="16">
      <c r="A16" s="25" t="inlineStr">
        <is>
          <t>Super Admin</t>
        </is>
      </c>
      <c r="B16" s="26" t="inlineStr">
        <is>
          <t>super_admin</t>
        </is>
      </c>
      <c r="C16" s="26" t="n">
        <v>12</v>
      </c>
      <c r="D16" s="26" t="inlineStr">
        <is>
          <t>Archives</t>
        </is>
      </c>
      <c r="E16" s="26" t="inlineStr">
        <is>
          <t>Dossiers clos, apprenants sortis, classes clôturées.</t>
        </is>
      </c>
      <c r="F16" s="36" t="inlineStr">
        <is>
          <t>Opérationnel</t>
        </is>
      </c>
      <c r="G16" s="27" t="inlineStr"/>
      <c r="H16" s="27" t="inlineStr"/>
      <c r="I16" s="27" t="inlineStr"/>
    </row>
    <row r="17">
      <c r="A17" s="28" t="inlineStr">
        <is>
          <t>Super Admin</t>
        </is>
      </c>
      <c r="B17" s="29" t="inlineStr">
        <is>
          <t>super_admin</t>
        </is>
      </c>
      <c r="C17" s="29" t="n">
        <v>13</v>
      </c>
      <c r="D17" s="29" t="inlineStr">
        <is>
          <t>Professeurs</t>
        </is>
      </c>
      <c r="E17" s="29" t="inlineStr">
        <is>
          <t>Fiches coachs : contrats, catégories, notes d'observation, disponibilités.</t>
        </is>
      </c>
      <c r="F17" s="35" t="inlineStr">
        <is>
          <t>Opérationnel</t>
        </is>
      </c>
      <c r="G17" s="27" t="inlineStr"/>
      <c r="H17" s="27" t="inlineStr"/>
      <c r="I17" s="27" t="inlineStr"/>
    </row>
    <row r="18">
      <c r="A18" s="25" t="inlineStr">
        <is>
          <t>Super Admin</t>
        </is>
      </c>
      <c r="B18" s="26" t="inlineStr">
        <is>
          <t>super_admin</t>
        </is>
      </c>
      <c r="C18" s="26" t="n">
        <v>14</v>
      </c>
      <c r="D18" s="26" t="inlineStr">
        <is>
          <t>Groupes</t>
        </is>
      </c>
      <c r="E18" s="26" t="inlineStr">
        <is>
          <t>Classes et groupes : création, affectation de coach, horaires, clôture.</t>
        </is>
      </c>
      <c r="F18" s="36" t="inlineStr">
        <is>
          <t>Opérationnel</t>
        </is>
      </c>
      <c r="G18" s="27" t="inlineStr"/>
      <c r="H18" s="27" t="inlineStr"/>
      <c r="I18" s="27" t="inlineStr"/>
    </row>
    <row r="19">
      <c r="A19" s="28" t="inlineStr">
        <is>
          <t>Super Admin</t>
        </is>
      </c>
      <c r="B19" s="29" t="inlineStr">
        <is>
          <t>super_admin</t>
        </is>
      </c>
      <c r="C19" s="29" t="n">
        <v>15</v>
      </c>
      <c r="D19" s="29" t="inlineStr">
        <is>
          <t>Offres &amp; Formations</t>
        </is>
      </c>
      <c r="E19" s="29" t="inlineStr">
        <is>
          <t>Catalogue : formules, tarifs, filières, certifications.</t>
        </is>
      </c>
      <c r="F19" s="35" t="inlineStr">
        <is>
          <t>Opérationnel</t>
        </is>
      </c>
      <c r="G19" s="27" t="inlineStr"/>
      <c r="H19" s="27" t="inlineStr"/>
      <c r="I19" s="27" t="inlineStr"/>
    </row>
    <row r="20">
      <c r="A20" s="25" t="inlineStr">
        <is>
          <t>Super Admin</t>
        </is>
      </c>
      <c r="B20" s="26" t="inlineStr">
        <is>
          <t>super_admin</t>
        </is>
      </c>
      <c r="C20" s="26" t="n">
        <v>16</v>
      </c>
      <c r="D20" s="26" t="inlineStr">
        <is>
          <t>Planning assistantes</t>
        </is>
      </c>
      <c r="E20" s="26" t="inlineStr">
        <is>
          <t>Planning et charge des assistantes commerciales et onboarding.</t>
        </is>
      </c>
      <c r="F20" s="36" t="inlineStr">
        <is>
          <t>Opérationnel</t>
        </is>
      </c>
      <c r="G20" s="27" t="inlineStr"/>
      <c r="H20" s="27" t="inlineStr"/>
      <c r="I20" s="27" t="inlineStr"/>
    </row>
    <row r="21">
      <c r="A21" s="28" t="inlineStr">
        <is>
          <t>Super Admin</t>
        </is>
      </c>
      <c r="B21" s="29" t="inlineStr">
        <is>
          <t>super_admin</t>
        </is>
      </c>
      <c r="C21" s="29" t="n">
        <v>17</v>
      </c>
      <c r="D21" s="29" t="inlineStr">
        <is>
          <t>Sondages</t>
        </is>
      </c>
      <c r="E21" s="29" t="inlineStr">
        <is>
          <t>Création et dépouillement des sondages internes.</t>
        </is>
      </c>
      <c r="F21" s="35" t="inlineStr">
        <is>
          <t>Opérationnel</t>
        </is>
      </c>
      <c r="G21" s="27" t="inlineStr"/>
      <c r="H21" s="27" t="inlineStr"/>
      <c r="I21" s="27" t="inlineStr"/>
    </row>
    <row r="22">
      <c r="A22" s="25" t="inlineStr">
        <is>
          <t>Super Admin</t>
        </is>
      </c>
      <c r="B22" s="26" t="inlineStr">
        <is>
          <t>super_admin</t>
        </is>
      </c>
      <c r="C22" s="26" t="n">
        <v>18</v>
      </c>
      <c r="D22" s="26" t="inlineStr">
        <is>
          <t>Chiffre d'affaires</t>
        </is>
      </c>
      <c r="E22" s="26" t="inlineStr">
        <is>
          <t>Chiffre d'affaires consolidé, par période, canal et centre.</t>
        </is>
      </c>
      <c r="F22" s="36" t="inlineStr">
        <is>
          <t>Opérationnel</t>
        </is>
      </c>
      <c r="G22" s="27" t="inlineStr"/>
      <c r="H22" s="27" t="inlineStr"/>
      <c r="I22" s="27" t="inlineStr"/>
    </row>
    <row r="23">
      <c r="A23" s="28" t="inlineStr">
        <is>
          <t>Super Admin</t>
        </is>
      </c>
      <c r="B23" s="29" t="inlineStr">
        <is>
          <t>super_admin</t>
        </is>
      </c>
      <c r="C23" s="29" t="n">
        <v>19</v>
      </c>
      <c r="D23" s="29" t="inlineStr">
        <is>
          <t>Paiements</t>
        </is>
      </c>
      <c r="E23" s="29" t="inlineStr">
        <is>
          <t>Tous les paiements, échéanciers, relances et encaissements.</t>
        </is>
      </c>
      <c r="F23" s="35" t="inlineStr">
        <is>
          <t>Opérationnel</t>
        </is>
      </c>
      <c r="G23" s="27" t="inlineStr"/>
      <c r="H23" s="27" t="inlineStr"/>
      <c r="I23" s="27" t="inlineStr"/>
    </row>
    <row r="24">
      <c r="A24" s="25" t="inlineStr">
        <is>
          <t>Super Admin</t>
        </is>
      </c>
      <c r="B24" s="26" t="inlineStr">
        <is>
          <t>super_admin</t>
        </is>
      </c>
      <c r="C24" s="26" t="n">
        <v>20</v>
      </c>
      <c r="D24" s="26" t="inlineStr">
        <is>
          <t>Gestion des droits</t>
        </is>
      </c>
      <c r="E24" s="26" t="inlineStr">
        <is>
          <t>Matrice des permissions par rôle, création des comptes du personnel.</t>
        </is>
      </c>
      <c r="F24" s="36" t="inlineStr">
        <is>
          <t>Opérationnel</t>
        </is>
      </c>
      <c r="G24" s="27" t="inlineStr"/>
      <c r="H24" s="27" t="inlineStr"/>
      <c r="I24" s="27" t="inlineStr"/>
    </row>
    <row r="25">
      <c r="A25" s="28" t="inlineStr">
        <is>
          <t>Super Admin</t>
        </is>
      </c>
      <c r="B25" s="29" t="inlineStr">
        <is>
          <t>super_admin</t>
        </is>
      </c>
      <c r="C25" s="29" t="n">
        <v>21</v>
      </c>
      <c r="D25" s="29" t="inlineStr">
        <is>
          <t>Audit global</t>
        </is>
      </c>
      <c r="E25" s="29" t="inlineStr">
        <is>
          <t>Journal des actions du personnel sur la plateforme.</t>
        </is>
      </c>
      <c r="F25" s="35" t="inlineStr">
        <is>
          <t>Opérationnel</t>
        </is>
      </c>
      <c r="G25" s="27" t="inlineStr"/>
      <c r="H25" s="27" t="inlineStr"/>
      <c r="I25" s="27" t="inlineStr"/>
    </row>
    <row r="26">
      <c r="A26" s="25" t="inlineStr">
        <is>
          <t>Super Admin</t>
        </is>
      </c>
      <c r="B26" s="26" t="inlineStr">
        <is>
          <t>super_admin</t>
        </is>
      </c>
      <c r="C26" s="26" t="n">
        <v>22</v>
      </c>
      <c r="D26" s="26" t="inlineStr">
        <is>
          <t>Messages</t>
        </is>
      </c>
      <c r="E26" s="26" t="inlineStr">
        <is>
          <t>Messagerie interne et chats de classe.</t>
        </is>
      </c>
      <c r="F26" s="36" t="inlineStr">
        <is>
          <t>Opérationnel</t>
        </is>
      </c>
      <c r="G26" s="27" t="inlineStr"/>
      <c r="H26" s="27" t="inlineStr"/>
      <c r="I26" s="27" t="inlineStr"/>
    </row>
    <row r="27">
      <c r="A27" s="28" t="inlineStr">
        <is>
          <t>Super Admin</t>
        </is>
      </c>
      <c r="B27" s="29" t="inlineStr">
        <is>
          <t>super_admin</t>
        </is>
      </c>
      <c r="C27" s="29" t="n">
        <v>23</v>
      </c>
      <c r="D27" s="29" t="inlineStr">
        <is>
          <t>Notifications</t>
        </is>
      </c>
      <c r="E27" s="29" t="inlineStr">
        <is>
          <t>Centre de notifications du profil.</t>
        </is>
      </c>
      <c r="F27" s="35" t="inlineStr">
        <is>
          <t>Opérationnel</t>
        </is>
      </c>
      <c r="G27" s="27" t="inlineStr"/>
      <c r="H27" s="27" t="inlineStr"/>
      <c r="I27" s="27" t="inlineStr"/>
    </row>
    <row r="28">
      <c r="A28" s="28" t="inlineStr">
        <is>
          <t>Marketing</t>
        </is>
      </c>
      <c r="B28" s="29" t="inlineStr">
        <is>
          <t>marketing</t>
        </is>
      </c>
      <c r="C28" s="29" t="inlineStr">
        <is>
          <t>—</t>
        </is>
      </c>
      <c r="D28" s="29" t="inlineStr">
        <is>
          <t>Écran du Super Admin</t>
        </is>
      </c>
      <c r="E28" s="29" t="inlineStr">
        <is>
          <t>Le rôle marketing ouvre le tableau de bord Super Admin : pas d'écran propre. Onglets utiles : Tableau de bord marketing, Campagnes &amp; Newsletters, Média, Trafic web, Boutique, Sondages.</t>
        </is>
      </c>
      <c r="F28" s="37" t="inlineStr">
        <is>
          <t>Partagé</t>
        </is>
      </c>
      <c r="G28" s="27" t="inlineStr"/>
      <c r="H28" s="27" t="inlineStr"/>
      <c r="I28" s="27" t="inlineStr"/>
    </row>
    <row r="29">
      <c r="A29" s="28" t="inlineStr">
        <is>
          <t>Administrateur</t>
        </is>
      </c>
      <c r="B29" s="29" t="inlineStr">
        <is>
          <t>admin</t>
        </is>
      </c>
      <c r="C29" s="29" t="n">
        <v>1</v>
      </c>
      <c r="D29" s="29" t="inlineStr">
        <is>
          <t>Mes tâches</t>
        </is>
      </c>
      <c r="E29" s="29" t="inlineStr">
        <is>
          <t>Agrégation des points à traiter.</t>
        </is>
      </c>
      <c r="F29" s="35" t="inlineStr">
        <is>
          <t>Opérationnel</t>
        </is>
      </c>
      <c r="G29" s="27" t="inlineStr"/>
      <c r="H29" s="27" t="inlineStr"/>
      <c r="I29" s="27" t="inlineStr"/>
    </row>
    <row r="30">
      <c r="A30" s="25" t="inlineStr">
        <is>
          <t>Administrateur</t>
        </is>
      </c>
      <c r="B30" s="26" t="inlineStr">
        <is>
          <t>admin</t>
        </is>
      </c>
      <c r="C30" s="26" t="n">
        <v>2</v>
      </c>
      <c r="D30" s="26" t="inlineStr">
        <is>
          <t>Vue d'ensemble</t>
        </is>
      </c>
      <c r="E30" s="26" t="inlineStr">
        <is>
          <t>Indicateurs de synthèse de la plateforme.</t>
        </is>
      </c>
      <c r="F30" s="36" t="inlineStr">
        <is>
          <t>Opérationnel</t>
        </is>
      </c>
      <c r="G30" s="27" t="inlineStr"/>
      <c r="H30" s="27" t="inlineStr"/>
      <c r="I30" s="27" t="inlineStr"/>
    </row>
    <row r="31">
      <c r="A31" s="28" t="inlineStr">
        <is>
          <t>Administrateur</t>
        </is>
      </c>
      <c r="B31" s="29" t="inlineStr">
        <is>
          <t>admin</t>
        </is>
      </c>
      <c r="C31" s="29" t="n">
        <v>3</v>
      </c>
      <c r="D31" s="29" t="inlineStr">
        <is>
          <t>Plateforme</t>
        </is>
      </c>
      <c r="E31" s="29" t="inlineStr">
        <is>
          <t>Configuration générale et contenus du site public.</t>
        </is>
      </c>
      <c r="F31" s="35" t="inlineStr">
        <is>
          <t>Opérationnel</t>
        </is>
      </c>
      <c r="G31" s="27" t="inlineStr"/>
      <c r="H31" s="27" t="inlineStr"/>
      <c r="I31" s="27" t="inlineStr"/>
    </row>
    <row r="32">
      <c r="A32" s="25" t="inlineStr">
        <is>
          <t>Administrateur</t>
        </is>
      </c>
      <c r="B32" s="26" t="inlineStr">
        <is>
          <t>admin</t>
        </is>
      </c>
      <c r="C32" s="26" t="n">
        <v>4</v>
      </c>
      <c r="D32" s="26" t="inlineStr">
        <is>
          <t>Trafic web</t>
        </is>
      </c>
      <c r="E32" s="26" t="inlineStr">
        <is>
          <t>Statistiques de fréquentation.</t>
        </is>
      </c>
      <c r="F32" s="36" t="inlineStr">
        <is>
          <t>Opérationnel</t>
        </is>
      </c>
      <c r="G32" s="27" t="inlineStr"/>
      <c r="H32" s="27" t="inlineStr"/>
      <c r="I32" s="27" t="inlineStr"/>
    </row>
    <row r="33">
      <c r="A33" s="28" t="inlineStr">
        <is>
          <t>Administrateur</t>
        </is>
      </c>
      <c r="B33" s="29" t="inlineStr">
        <is>
          <t>admin</t>
        </is>
      </c>
      <c r="C33" s="29" t="n">
        <v>5</v>
      </c>
      <c r="D33" s="29" t="inlineStr">
        <is>
          <t>Clients &amp; Prospects</t>
        </is>
      </c>
      <c r="E33" s="29" t="inlineStr">
        <is>
          <t>Base des dossiers, toutes assistantes confondues.</t>
        </is>
      </c>
      <c r="F33" s="35" t="inlineStr">
        <is>
          <t>Opérationnel</t>
        </is>
      </c>
      <c r="G33" s="27" t="inlineStr"/>
      <c r="H33" s="27" t="inlineStr"/>
      <c r="I33" s="27" t="inlineStr"/>
    </row>
    <row r="34">
      <c r="A34" s="25" t="inlineStr">
        <is>
          <t>Administrateur</t>
        </is>
      </c>
      <c r="B34" s="26" t="inlineStr">
        <is>
          <t>admin</t>
        </is>
      </c>
      <c r="C34" s="26" t="n">
        <v>6</v>
      </c>
      <c r="D34" s="26" t="inlineStr">
        <is>
          <t>Apprenants</t>
        </is>
      </c>
      <c r="E34" s="26" t="inlineStr">
        <is>
          <t>Suivi transversal des apprenants inscrits.</t>
        </is>
      </c>
      <c r="F34" s="36" t="inlineStr">
        <is>
          <t>Opérationnel</t>
        </is>
      </c>
      <c r="G34" s="27" t="inlineStr"/>
      <c r="H34" s="27" t="inlineStr"/>
      <c r="I34" s="27" t="inlineStr"/>
    </row>
    <row r="35">
      <c r="A35" s="28" t="inlineStr">
        <is>
          <t>Administrateur</t>
        </is>
      </c>
      <c r="B35" s="29" t="inlineStr">
        <is>
          <t>admin</t>
        </is>
      </c>
      <c r="C35" s="29" t="n">
        <v>7</v>
      </c>
      <c r="D35" s="29" t="inlineStr">
        <is>
          <t>Archives</t>
        </is>
      </c>
      <c r="E35" s="29" t="inlineStr">
        <is>
          <t>Dossiers clos et classes clôturées.</t>
        </is>
      </c>
      <c r="F35" s="35" t="inlineStr">
        <is>
          <t>Opérationnel</t>
        </is>
      </c>
      <c r="G35" s="27" t="inlineStr"/>
      <c r="H35" s="27" t="inlineStr"/>
      <c r="I35" s="27" t="inlineStr"/>
    </row>
    <row r="36">
      <c r="A36" s="25" t="inlineStr">
        <is>
          <t>Administrateur</t>
        </is>
      </c>
      <c r="B36" s="26" t="inlineStr">
        <is>
          <t>admin</t>
        </is>
      </c>
      <c r="C36" s="26" t="n">
        <v>8</v>
      </c>
      <c r="D36" s="26" t="inlineStr">
        <is>
          <t>Professeurs</t>
        </is>
      </c>
      <c r="E36" s="26" t="inlineStr">
        <is>
          <t>Fiches coachs, contrats, catégories, observations.</t>
        </is>
      </c>
      <c r="F36" s="36" t="inlineStr">
        <is>
          <t>Opérationnel</t>
        </is>
      </c>
      <c r="G36" s="27" t="inlineStr"/>
      <c r="H36" s="27" t="inlineStr"/>
      <c r="I36" s="27" t="inlineStr"/>
    </row>
    <row r="37">
      <c r="A37" s="28" t="inlineStr">
        <is>
          <t>Administrateur</t>
        </is>
      </c>
      <c r="B37" s="29" t="inlineStr">
        <is>
          <t>admin</t>
        </is>
      </c>
      <c r="C37" s="29" t="n">
        <v>9</v>
      </c>
      <c r="D37" s="29" t="inlineStr">
        <is>
          <t>Groupes</t>
        </is>
      </c>
      <c r="E37" s="29" t="inlineStr">
        <is>
          <t>Classes et groupes, affectation de coach, horaires.</t>
        </is>
      </c>
      <c r="F37" s="35" t="inlineStr">
        <is>
          <t>Opérationnel</t>
        </is>
      </c>
      <c r="G37" s="27" t="inlineStr"/>
      <c r="H37" s="27" t="inlineStr"/>
      <c r="I37" s="27" t="inlineStr"/>
    </row>
    <row r="38">
      <c r="A38" s="25" t="inlineStr">
        <is>
          <t>Administrateur</t>
        </is>
      </c>
      <c r="B38" s="26" t="inlineStr">
        <is>
          <t>admin</t>
        </is>
      </c>
      <c r="C38" s="26" t="n">
        <v>10</v>
      </c>
      <c r="D38" s="26" t="inlineStr">
        <is>
          <t>Offres &amp; Formations</t>
        </is>
      </c>
      <c r="E38" s="26" t="inlineStr">
        <is>
          <t>Catalogue des formules et tarifs.</t>
        </is>
      </c>
      <c r="F38" s="36" t="inlineStr">
        <is>
          <t>Opérationnel</t>
        </is>
      </c>
      <c r="G38" s="27" t="inlineStr"/>
      <c r="H38" s="27" t="inlineStr"/>
      <c r="I38" s="27" t="inlineStr"/>
    </row>
    <row r="39">
      <c r="A39" s="28" t="inlineStr">
        <is>
          <t>Administrateur</t>
        </is>
      </c>
      <c r="B39" s="29" t="inlineStr">
        <is>
          <t>admin</t>
        </is>
      </c>
      <c r="C39" s="29" t="n">
        <v>11</v>
      </c>
      <c r="D39" s="29" t="inlineStr">
        <is>
          <t>Planning assistantes</t>
        </is>
      </c>
      <c r="E39" s="29" t="inlineStr">
        <is>
          <t>Planning et charge des assistantes.</t>
        </is>
      </c>
      <c r="F39" s="35" t="inlineStr">
        <is>
          <t>Opérationnel</t>
        </is>
      </c>
      <c r="G39" s="27" t="inlineStr"/>
      <c r="H39" s="27" t="inlineStr"/>
      <c r="I39" s="27" t="inlineStr"/>
    </row>
    <row r="40">
      <c r="A40" s="25" t="inlineStr">
        <is>
          <t>Administrateur</t>
        </is>
      </c>
      <c r="B40" s="26" t="inlineStr">
        <is>
          <t>admin</t>
        </is>
      </c>
      <c r="C40" s="26" t="n">
        <v>12</v>
      </c>
      <c r="D40" s="26" t="inlineStr">
        <is>
          <t>Sondages</t>
        </is>
      </c>
      <c r="E40" s="26" t="inlineStr">
        <is>
          <t>Sondages internes.</t>
        </is>
      </c>
      <c r="F40" s="36" t="inlineStr">
        <is>
          <t>Opérationnel</t>
        </is>
      </c>
      <c r="G40" s="27" t="inlineStr"/>
      <c r="H40" s="27" t="inlineStr"/>
      <c r="I40" s="27" t="inlineStr"/>
    </row>
    <row r="41">
      <c r="A41" s="28" t="inlineStr">
        <is>
          <t>Administrateur</t>
        </is>
      </c>
      <c r="B41" s="29" t="inlineStr">
        <is>
          <t>admin</t>
        </is>
      </c>
      <c r="C41" s="29" t="n">
        <v>13</v>
      </c>
      <c r="D41" s="29" t="inlineStr">
        <is>
          <t>Chiffre d'affaires</t>
        </is>
      </c>
      <c r="E41" s="29" t="inlineStr">
        <is>
          <t>Chiffre d'affaires consolidé.</t>
        </is>
      </c>
      <c r="F41" s="35" t="inlineStr">
        <is>
          <t>Opérationnel</t>
        </is>
      </c>
      <c r="G41" s="27" t="inlineStr"/>
      <c r="H41" s="27" t="inlineStr"/>
      <c r="I41" s="27" t="inlineStr"/>
    </row>
    <row r="42">
      <c r="A42" s="25" t="inlineStr">
        <is>
          <t>Administrateur</t>
        </is>
      </c>
      <c r="B42" s="26" t="inlineStr">
        <is>
          <t>admin</t>
        </is>
      </c>
      <c r="C42" s="26" t="n">
        <v>14</v>
      </c>
      <c r="D42" s="26" t="inlineStr">
        <is>
          <t>Paiements</t>
        </is>
      </c>
      <c r="E42" s="26" t="inlineStr">
        <is>
          <t>Paiements, échéanciers et relances.</t>
        </is>
      </c>
      <c r="F42" s="36" t="inlineStr">
        <is>
          <t>Opérationnel</t>
        </is>
      </c>
      <c r="G42" s="27" t="inlineStr"/>
      <c r="H42" s="27" t="inlineStr"/>
      <c r="I42" s="27" t="inlineStr"/>
    </row>
    <row r="43">
      <c r="A43" s="28" t="inlineStr">
        <is>
          <t>Administrateur</t>
        </is>
      </c>
      <c r="B43" s="29" t="inlineStr">
        <is>
          <t>admin</t>
        </is>
      </c>
      <c r="C43" s="29" t="n">
        <v>15</v>
      </c>
      <c r="D43" s="29" t="inlineStr">
        <is>
          <t>Administration BET</t>
        </is>
      </c>
      <c r="E43" s="29" t="inlineStr">
        <is>
          <t>Administration métier : centres, salles, référentiels.</t>
        </is>
      </c>
      <c r="F43" s="35" t="inlineStr">
        <is>
          <t>Opérationnel</t>
        </is>
      </c>
      <c r="G43" s="27" t="inlineStr"/>
      <c r="H43" s="27" t="inlineStr"/>
      <c r="I43" s="27" t="inlineStr"/>
    </row>
    <row r="44">
      <c r="A44" s="25" t="inlineStr">
        <is>
          <t>Administrateur</t>
        </is>
      </c>
      <c r="B44" s="26" t="inlineStr">
        <is>
          <t>admin</t>
        </is>
      </c>
      <c r="C44" s="26" t="n">
        <v>16</v>
      </c>
      <c r="D44" s="26" t="inlineStr">
        <is>
          <t>Audit global</t>
        </is>
      </c>
      <c r="E44" s="26" t="inlineStr">
        <is>
          <t>Journal des actions du personnel.</t>
        </is>
      </c>
      <c r="F44" s="36" t="inlineStr">
        <is>
          <t>Opérationnel</t>
        </is>
      </c>
      <c r="G44" s="27" t="inlineStr"/>
      <c r="H44" s="27" t="inlineStr"/>
      <c r="I44" s="27" t="inlineStr"/>
    </row>
    <row r="45">
      <c r="A45" s="28" t="inlineStr">
        <is>
          <t>Administrateur</t>
        </is>
      </c>
      <c r="B45" s="29" t="inlineStr">
        <is>
          <t>admin</t>
        </is>
      </c>
      <c r="C45" s="29" t="n">
        <v>17</v>
      </c>
      <c r="D45" s="29" t="inlineStr">
        <is>
          <t>Messages</t>
        </is>
      </c>
      <c r="E45" s="29" t="inlineStr">
        <is>
          <t>Messagerie interne.</t>
        </is>
      </c>
      <c r="F45" s="35" t="inlineStr">
        <is>
          <t>Opérationnel</t>
        </is>
      </c>
      <c r="G45" s="27" t="inlineStr"/>
      <c r="H45" s="27" t="inlineStr"/>
      <c r="I45" s="27" t="inlineStr"/>
    </row>
    <row r="46">
      <c r="A46" s="25" t="inlineStr">
        <is>
          <t>Administrateur</t>
        </is>
      </c>
      <c r="B46" s="26" t="inlineStr">
        <is>
          <t>admin</t>
        </is>
      </c>
      <c r="C46" s="26" t="n">
        <v>18</v>
      </c>
      <c r="D46" s="26" t="inlineStr">
        <is>
          <t>Notifications</t>
        </is>
      </c>
      <c r="E46" s="26" t="inlineStr">
        <is>
          <t>Centre de notifications.</t>
        </is>
      </c>
      <c r="F46" s="36" t="inlineStr">
        <is>
          <t>Opérationnel</t>
        </is>
      </c>
      <c r="G46" s="27" t="inlineStr"/>
      <c r="H46" s="27" t="inlineStr"/>
      <c r="I46" s="27" t="inlineStr"/>
    </row>
    <row r="47">
      <c r="A47" s="28" t="inlineStr">
        <is>
          <t>Manager</t>
        </is>
      </c>
      <c r="B47" s="29" t="inlineStr">
        <is>
          <t>manager</t>
        </is>
      </c>
      <c r="C47" s="29" t="n">
        <v>1</v>
      </c>
      <c r="D47" s="29" t="inlineStr">
        <is>
          <t>Vue d'ensemble</t>
        </is>
      </c>
      <c r="E47" s="29" t="inlineStr">
        <is>
          <t>Synthèse de l'activité des deux équipes.</t>
        </is>
      </c>
      <c r="F47" s="35" t="inlineStr">
        <is>
          <t>Opérationnel</t>
        </is>
      </c>
      <c r="G47" s="27" t="inlineStr"/>
      <c r="H47" s="27" t="inlineStr"/>
      <c r="I47" s="27" t="inlineStr"/>
    </row>
    <row r="48">
      <c r="A48" s="25" t="inlineStr">
        <is>
          <t>Manager</t>
        </is>
      </c>
      <c r="B48" s="26" t="inlineStr">
        <is>
          <t>manager</t>
        </is>
      </c>
      <c r="C48" s="26" t="n">
        <v>2</v>
      </c>
      <c r="D48" s="26" t="inlineStr">
        <is>
          <t>Cockpit KPI</t>
        </is>
      </c>
      <c r="E48" s="26" t="inlineStr">
        <is>
          <t>Indicateurs du référentiel KPI dont la source est alimentée.</t>
        </is>
      </c>
      <c r="F48" s="36" t="inlineStr">
        <is>
          <t>Opérationnel</t>
        </is>
      </c>
      <c r="G48" s="27" t="inlineStr"/>
      <c r="H48" s="27" t="inlineStr"/>
      <c r="I48" s="27" t="inlineStr"/>
    </row>
    <row r="49">
      <c r="A49" s="28" t="inlineStr">
        <is>
          <t>Manager</t>
        </is>
      </c>
      <c r="B49" s="29" t="inlineStr">
        <is>
          <t>manager</t>
        </is>
      </c>
      <c r="C49" s="29" t="n">
        <v>3</v>
      </c>
      <c r="D49" s="29" t="inlineStr">
        <is>
          <t>Équipe Commerciale</t>
        </is>
      </c>
      <c r="E49" s="29" t="inlineStr">
        <is>
          <t>Performance par assistante : dossiers, conversions, encaissements.</t>
        </is>
      </c>
      <c r="F49" s="35" t="inlineStr">
        <is>
          <t>Opérationnel</t>
        </is>
      </c>
      <c r="G49" s="27" t="inlineStr"/>
      <c r="H49" s="27" t="inlineStr"/>
      <c r="I49" s="27" t="inlineStr"/>
    </row>
    <row r="50">
      <c r="A50" s="25" t="inlineStr">
        <is>
          <t>Manager</t>
        </is>
      </c>
      <c r="B50" s="26" t="inlineStr">
        <is>
          <t>manager</t>
        </is>
      </c>
      <c r="C50" s="26" t="n">
        <v>4</v>
      </c>
      <c r="D50" s="26" t="inlineStr">
        <is>
          <t>Équipe Pédagogique</t>
        </is>
      </c>
      <c r="E50" s="26" t="inlineStr">
        <is>
          <t>Suivi de l'équipe pédagogique : coachs, classes, observations.</t>
        </is>
      </c>
      <c r="F50" s="36" t="inlineStr">
        <is>
          <t>Opérationnel</t>
        </is>
      </c>
      <c r="G50" s="27" t="inlineStr"/>
      <c r="H50" s="27" t="inlineStr"/>
      <c r="I50" s="27" t="inlineStr"/>
    </row>
    <row r="51">
      <c r="A51" s="28" t="inlineStr">
        <is>
          <t>Manager</t>
        </is>
      </c>
      <c r="B51" s="29" t="inlineStr">
        <is>
          <t>manager</t>
        </is>
      </c>
      <c r="C51" s="29" t="n">
        <v>5</v>
      </c>
      <c r="D51" s="29" t="inlineStr">
        <is>
          <t>Reporting global</t>
        </is>
      </c>
      <c r="E51" s="29" t="inlineStr">
        <is>
          <t>Rapports consolidés, exports.</t>
        </is>
      </c>
      <c r="F51" s="35" t="inlineStr">
        <is>
          <t>Opérationnel</t>
        </is>
      </c>
      <c r="G51" s="27" t="inlineStr"/>
      <c r="H51" s="27" t="inlineStr"/>
      <c r="I51" s="27" t="inlineStr"/>
    </row>
    <row r="52">
      <c r="A52" s="25" t="inlineStr">
        <is>
          <t>Manager</t>
        </is>
      </c>
      <c r="B52" s="26" t="inlineStr">
        <is>
          <t>manager</t>
        </is>
      </c>
      <c r="C52" s="26" t="n">
        <v>6</v>
      </c>
      <c r="D52" s="26" t="inlineStr">
        <is>
          <t>Workflows</t>
        </is>
      </c>
      <c r="E52" s="26" t="inlineStr">
        <is>
          <t>Vue des circuits en cours entre métiers.</t>
        </is>
      </c>
      <c r="F52" s="36" t="inlineStr">
        <is>
          <t>Opérationnel</t>
        </is>
      </c>
      <c r="G52" s="27" t="inlineStr"/>
      <c r="H52" s="27" t="inlineStr"/>
      <c r="I52" s="27" t="inlineStr"/>
    </row>
    <row r="53">
      <c r="A53" s="28" t="inlineStr">
        <is>
          <t>Manager</t>
        </is>
      </c>
      <c r="B53" s="29" t="inlineStr">
        <is>
          <t>manager</t>
        </is>
      </c>
      <c r="C53" s="29" t="n">
        <v>7</v>
      </c>
      <c r="D53" s="29" t="inlineStr">
        <is>
          <t>Messages</t>
        </is>
      </c>
      <c r="E53" s="29" t="inlineStr">
        <is>
          <t>Messagerie interne.</t>
        </is>
      </c>
      <c r="F53" s="35" t="inlineStr">
        <is>
          <t>Opérationnel</t>
        </is>
      </c>
      <c r="G53" s="27" t="inlineStr"/>
      <c r="H53" s="27" t="inlineStr"/>
      <c r="I53" s="27" t="inlineStr"/>
    </row>
    <row r="54">
      <c r="A54" s="25" t="inlineStr">
        <is>
          <t>Manager</t>
        </is>
      </c>
      <c r="B54" s="26" t="inlineStr">
        <is>
          <t>manager</t>
        </is>
      </c>
      <c r="C54" s="26" t="n">
        <v>8</v>
      </c>
      <c r="D54" s="26" t="inlineStr">
        <is>
          <t>Notifications</t>
        </is>
      </c>
      <c r="E54" s="26" t="inlineStr">
        <is>
          <t>Centre de notifications.</t>
        </is>
      </c>
      <c r="F54" s="36" t="inlineStr">
        <is>
          <t>Opérationnel</t>
        </is>
      </c>
      <c r="G54" s="27" t="inlineStr"/>
      <c r="H54" s="27" t="inlineStr"/>
      <c r="I54" s="27" t="inlineStr"/>
    </row>
    <row r="55">
      <c r="A55" s="28" t="inlineStr">
        <is>
          <t>Superviseur global</t>
        </is>
      </c>
      <c r="B55" s="29" t="inlineStr">
        <is>
          <t>superviseur</t>
        </is>
      </c>
      <c r="C55" s="29" t="n">
        <v>1</v>
      </c>
      <c r="D55" s="29" t="inlineStr">
        <is>
          <t>Mes tâches</t>
        </is>
      </c>
      <c r="E55" s="29" t="inlineStr">
        <is>
          <t>Agrégation des points à traiter.</t>
        </is>
      </c>
      <c r="F55" s="35" t="inlineStr">
        <is>
          <t>Opérationnel</t>
        </is>
      </c>
      <c r="G55" s="27" t="inlineStr"/>
      <c r="H55" s="27" t="inlineStr"/>
      <c r="I55" s="27" t="inlineStr"/>
    </row>
    <row r="56">
      <c r="A56" s="25" t="inlineStr">
        <is>
          <t>Superviseur global</t>
        </is>
      </c>
      <c r="B56" s="26" t="inlineStr">
        <is>
          <t>superviseur</t>
        </is>
      </c>
      <c r="C56" s="26" t="n">
        <v>2</v>
      </c>
      <c r="D56" s="26" t="inlineStr">
        <is>
          <t>Vue d'ensemble</t>
        </is>
      </c>
      <c r="E56" s="26" t="inlineStr">
        <is>
          <t>Synthèse de la conformité des coachs et des anomalies ouvertes.</t>
        </is>
      </c>
      <c r="F56" s="36" t="inlineStr">
        <is>
          <t>Opérationnel</t>
        </is>
      </c>
      <c r="G56" s="27" t="inlineStr"/>
      <c r="H56" s="27" t="inlineStr"/>
      <c r="I56" s="27" t="inlineStr"/>
    </row>
    <row r="57">
      <c r="A57" s="28" t="inlineStr">
        <is>
          <t>Superviseur global</t>
        </is>
      </c>
      <c r="B57" s="29" t="inlineStr">
        <is>
          <t>superviseur</t>
        </is>
      </c>
      <c r="C57" s="29" t="n">
        <v>3</v>
      </c>
      <c r="D57" s="29" t="inlineStr">
        <is>
          <t>Plannings</t>
        </is>
      </c>
      <c r="E57" s="29" t="inlineStr">
        <is>
          <t>Planning de toutes les classes : jours, heures, liens de connexion.</t>
        </is>
      </c>
      <c r="F57" s="35" t="inlineStr">
        <is>
          <t>Opérationnel</t>
        </is>
      </c>
      <c r="G57" s="27" t="inlineStr"/>
      <c r="H57" s="27" t="inlineStr"/>
      <c r="I57" s="27" t="inlineStr"/>
    </row>
    <row r="58">
      <c r="A58" s="25" t="inlineStr">
        <is>
          <t>Superviseur global</t>
        </is>
      </c>
      <c r="B58" s="26" t="inlineStr">
        <is>
          <t>superviseur</t>
        </is>
      </c>
      <c r="C58" s="26" t="n">
        <v>4</v>
      </c>
      <c r="D58" s="26" t="inlineStr">
        <is>
          <t>Observer un cours</t>
        </is>
      </c>
      <c r="E58" s="26" t="inlineStr">
        <is>
          <t>Saisie d'un rapport d'observation sur les 5 critères du barème BET.</t>
        </is>
      </c>
      <c r="F58" s="36" t="inlineStr">
        <is>
          <t>Opérationnel</t>
        </is>
      </c>
      <c r="G58" s="27" t="inlineStr"/>
      <c r="H58" s="27" t="inlineStr"/>
      <c r="I58" s="27" t="inlineStr"/>
    </row>
    <row r="59">
      <c r="A59" s="28" t="inlineStr">
        <is>
          <t>Superviseur global</t>
        </is>
      </c>
      <c r="B59" s="29" t="inlineStr">
        <is>
          <t>superviseur</t>
        </is>
      </c>
      <c r="C59" s="29" t="n">
        <v>5</v>
      </c>
      <c r="D59" s="29" t="inlineStr">
        <is>
          <t>Gestion Deputies</t>
        </is>
      </c>
      <c r="E59" s="29" t="inlineStr">
        <is>
          <t>Création et affectation des deputies, attribution de missions.</t>
        </is>
      </c>
      <c r="F59" s="35" t="inlineStr">
        <is>
          <t>Opérationnel</t>
        </is>
      </c>
      <c r="G59" s="27" t="inlineStr"/>
      <c r="H59" s="27" t="inlineStr"/>
      <c r="I59" s="27" t="inlineStr"/>
    </row>
    <row r="60">
      <c r="A60" s="25" t="inlineStr">
        <is>
          <t>Superviseur global</t>
        </is>
      </c>
      <c r="B60" s="26" t="inlineStr">
        <is>
          <t>superviseur</t>
        </is>
      </c>
      <c r="C60" s="26" t="n">
        <v>6</v>
      </c>
      <c r="D60" s="26" t="inlineStr">
        <is>
          <t>Cahiers coachs</t>
        </is>
      </c>
      <c r="E60" s="26" t="inlineStr">
        <is>
          <t>Cahier de chaque coach : classes, planning, séances, présences, fichiers partagés.</t>
        </is>
      </c>
      <c r="F60" s="36" t="inlineStr">
        <is>
          <t>Opérationnel</t>
        </is>
      </c>
      <c r="G60" s="27" t="inlineStr"/>
      <c r="H60" s="27" t="inlineStr"/>
      <c r="I60" s="27" t="inlineStr"/>
    </row>
    <row r="61">
      <c r="A61" s="28" t="inlineStr">
        <is>
          <t>Superviseur global</t>
        </is>
      </c>
      <c r="B61" s="29" t="inlineStr">
        <is>
          <t>superviseur</t>
        </is>
      </c>
      <c r="C61" s="29" t="n">
        <v>7</v>
      </c>
      <c r="D61" s="29" t="inlineStr">
        <is>
          <t>Classement</t>
        </is>
      </c>
      <c r="E61" s="29" t="inlineStr">
        <is>
          <t>Classement des coachs par catégorie de contrat (barème d'appraisal).</t>
        </is>
      </c>
      <c r="F61" s="35" t="inlineStr">
        <is>
          <t>Opérationnel</t>
        </is>
      </c>
      <c r="G61" s="27" t="inlineStr"/>
      <c r="H61" s="27" t="inlineStr"/>
      <c r="I61" s="27" t="inlineStr"/>
    </row>
    <row r="62">
      <c r="A62" s="25" t="inlineStr">
        <is>
          <t>Superviseur global</t>
        </is>
      </c>
      <c r="B62" s="26" t="inlineStr">
        <is>
          <t>superviseur</t>
        </is>
      </c>
      <c r="C62" s="26" t="n">
        <v>8</v>
      </c>
      <c r="D62" s="26" t="inlineStr">
        <is>
          <t>Évaluations apprenants</t>
        </is>
      </c>
      <c r="E62" s="26" t="inlineStr">
        <is>
          <t>Appréciations déposées par les apprenants sur leurs séances.</t>
        </is>
      </c>
      <c r="F62" s="36" t="inlineStr">
        <is>
          <t>Opérationnel</t>
        </is>
      </c>
      <c r="G62" s="27" t="inlineStr"/>
      <c r="H62" s="27" t="inlineStr"/>
      <c r="I62" s="27" t="inlineStr"/>
    </row>
    <row r="63">
      <c r="A63" s="28" t="inlineStr">
        <is>
          <t>Superviseur global</t>
        </is>
      </c>
      <c r="B63" s="29" t="inlineStr">
        <is>
          <t>superviseur</t>
        </is>
      </c>
      <c r="C63" s="29" t="n">
        <v>9</v>
      </c>
      <c r="D63" s="29" t="inlineStr">
        <is>
          <t>Évaluations parents</t>
        </is>
      </c>
      <c r="E63" s="29" t="inlineStr">
        <is>
          <t>Évaluations des coachs par les parents.</t>
        </is>
      </c>
      <c r="F63" s="35" t="inlineStr">
        <is>
          <t>Opérationnel</t>
        </is>
      </c>
      <c r="G63" s="27" t="inlineStr"/>
      <c r="H63" s="27" t="inlineStr"/>
      <c r="I63" s="27" t="inlineStr"/>
    </row>
    <row r="64">
      <c r="A64" s="25" t="inlineStr">
        <is>
          <t>Superviseur global</t>
        </is>
      </c>
      <c r="B64" s="26" t="inlineStr">
        <is>
          <t>superviseur</t>
        </is>
      </c>
      <c r="C64" s="26" t="n">
        <v>10</v>
      </c>
      <c r="D64" s="26" t="inlineStr">
        <is>
          <t>Rapports Deputy</t>
        </is>
      </c>
      <c r="E64" s="26" t="inlineStr">
        <is>
          <t>Lecture, correction et validation des rapports d'observation des deputies.</t>
        </is>
      </c>
      <c r="F64" s="36" t="inlineStr">
        <is>
          <t>Opérationnel</t>
        </is>
      </c>
      <c r="G64" s="27" t="inlineStr"/>
      <c r="H64" s="27" t="inlineStr"/>
      <c r="I64" s="27" t="inlineStr"/>
    </row>
    <row r="65">
      <c r="A65" s="28" t="inlineStr">
        <is>
          <t>Superviseur global</t>
        </is>
      </c>
      <c r="B65" s="29" t="inlineStr">
        <is>
          <t>superviseur</t>
        </is>
      </c>
      <c r="C65" s="29" t="n">
        <v>11</v>
      </c>
      <c r="D65" s="29" t="inlineStr">
        <is>
          <t>Anomalies</t>
        </is>
      </c>
      <c r="E65" s="29" t="inlineStr">
        <is>
          <t>Signalements de non-conformité, réservés au superviseur global.</t>
        </is>
      </c>
      <c r="F65" s="35" t="inlineStr">
        <is>
          <t>Opérationnel</t>
        </is>
      </c>
      <c r="G65" s="27" t="inlineStr"/>
      <c r="H65" s="27" t="inlineStr"/>
      <c r="I65" s="27" t="inlineStr"/>
    </row>
    <row r="66">
      <c r="A66" s="25" t="inlineStr">
        <is>
          <t>Superviseur global</t>
        </is>
      </c>
      <c r="B66" s="26" t="inlineStr">
        <is>
          <t>superviseur</t>
        </is>
      </c>
      <c r="C66" s="26" t="n">
        <v>12</v>
      </c>
      <c r="D66" s="26" t="inlineStr">
        <is>
          <t>Messagerie</t>
        </is>
      </c>
      <c r="E66" s="26" t="inlineStr">
        <is>
          <t>Messagerie interne.</t>
        </is>
      </c>
      <c r="F66" s="36" t="inlineStr">
        <is>
          <t>Opérationnel</t>
        </is>
      </c>
      <c r="G66" s="27" t="inlineStr"/>
      <c r="H66" s="27" t="inlineStr"/>
      <c r="I66" s="27" t="inlineStr"/>
    </row>
    <row r="67">
      <c r="A67" s="28" t="inlineStr">
        <is>
          <t>Superviseur global</t>
        </is>
      </c>
      <c r="B67" s="29" t="inlineStr">
        <is>
          <t>superviseur</t>
        </is>
      </c>
      <c r="C67" s="29" t="n">
        <v>13</v>
      </c>
      <c r="D67" s="29" t="inlineStr">
        <is>
          <t>Notifications</t>
        </is>
      </c>
      <c r="E67" s="29" t="inlineStr">
        <is>
          <t>Centre de notifications.</t>
        </is>
      </c>
      <c r="F67" s="35" t="inlineStr">
        <is>
          <t>Opérationnel</t>
        </is>
      </c>
      <c r="G67" s="27" t="inlineStr"/>
      <c r="H67" s="27" t="inlineStr"/>
      <c r="I67" s="27" t="inlineStr"/>
    </row>
    <row r="68">
      <c r="A68" s="28" t="inlineStr">
        <is>
          <t>Deputy Superviseur</t>
        </is>
      </c>
      <c r="B68" s="29" t="inlineStr">
        <is>
          <t>deputy_superviseur</t>
        </is>
      </c>
      <c r="C68" s="29" t="n">
        <v>1</v>
      </c>
      <c r="D68" s="29" t="inlineStr">
        <is>
          <t>Mes tâches</t>
        </is>
      </c>
      <c r="E68" s="29" t="inlineStr">
        <is>
          <t>Agrégation des points à traiter.</t>
        </is>
      </c>
      <c r="F68" s="35" t="inlineStr">
        <is>
          <t>Opérationnel</t>
        </is>
      </c>
      <c r="G68" s="27" t="inlineStr"/>
      <c r="H68" s="27" t="inlineStr"/>
      <c r="I68" s="27" t="inlineStr"/>
    </row>
    <row r="69">
      <c r="A69" s="25" t="inlineStr">
        <is>
          <t>Deputy Superviseur</t>
        </is>
      </c>
      <c r="B69" s="26" t="inlineStr">
        <is>
          <t>deputy_superviseur</t>
        </is>
      </c>
      <c r="C69" s="26" t="n">
        <v>2</v>
      </c>
      <c r="D69" s="26" t="inlineStr">
        <is>
          <t>Vue d'ensemble</t>
        </is>
      </c>
      <c r="E69" s="26" t="inlineStr">
        <is>
          <t>Synthèse de son périmètre d'observation.</t>
        </is>
      </c>
      <c r="F69" s="36" t="inlineStr">
        <is>
          <t>Opérationnel</t>
        </is>
      </c>
      <c r="G69" s="27" t="inlineStr"/>
      <c r="H69" s="27" t="inlineStr"/>
      <c r="I69" s="27" t="inlineStr"/>
    </row>
    <row r="70">
      <c r="A70" s="28" t="inlineStr">
        <is>
          <t>Deputy Superviseur</t>
        </is>
      </c>
      <c r="B70" s="29" t="inlineStr">
        <is>
          <t>deputy_superviseur</t>
        </is>
      </c>
      <c r="C70" s="29" t="n">
        <v>3</v>
      </c>
      <c r="D70" s="29" t="inlineStr">
        <is>
          <t>Plannings</t>
        </is>
      </c>
      <c r="E70" s="29" t="inlineStr">
        <is>
          <t>Planning des classes à observer.</t>
        </is>
      </c>
      <c r="F70" s="35" t="inlineStr">
        <is>
          <t>Opérationnel</t>
        </is>
      </c>
      <c r="G70" s="27" t="inlineStr"/>
      <c r="H70" s="27" t="inlineStr"/>
      <c r="I70" s="27" t="inlineStr"/>
    </row>
    <row r="71">
      <c r="A71" s="25" t="inlineStr">
        <is>
          <t>Deputy Superviseur</t>
        </is>
      </c>
      <c r="B71" s="26" t="inlineStr">
        <is>
          <t>deputy_superviseur</t>
        </is>
      </c>
      <c r="C71" s="26" t="n">
        <v>4</v>
      </c>
      <c r="D71" s="26" t="inlineStr">
        <is>
          <t>Observer un cours</t>
        </is>
      </c>
      <c r="E71" s="26" t="inlineStr">
        <is>
          <t>Saisie de son rapport d'observation.</t>
        </is>
      </c>
      <c r="F71" s="36" t="inlineStr">
        <is>
          <t>Opérationnel</t>
        </is>
      </c>
      <c r="G71" s="27" t="inlineStr"/>
      <c r="H71" s="27" t="inlineStr"/>
      <c r="I71" s="27" t="inlineStr"/>
    </row>
    <row r="72">
      <c r="A72" s="28" t="inlineStr">
        <is>
          <t>Deputy Superviseur</t>
        </is>
      </c>
      <c r="B72" s="29" t="inlineStr">
        <is>
          <t>deputy_superviseur</t>
        </is>
      </c>
      <c r="C72" s="29" t="n">
        <v>5</v>
      </c>
      <c r="D72" s="29" t="inlineStr">
        <is>
          <t>Cahiers coachs</t>
        </is>
      </c>
      <c r="E72" s="29" t="inlineStr">
        <is>
          <t>Même écran que le superviseur, en lecture seule : préparation de l'observation.</t>
        </is>
      </c>
      <c r="F72" s="35" t="inlineStr">
        <is>
          <t>Opérationnel</t>
        </is>
      </c>
      <c r="G72" s="27" t="inlineStr"/>
      <c r="H72" s="27" t="inlineStr"/>
      <c r="I72" s="27" t="inlineStr"/>
    </row>
    <row r="73">
      <c r="A73" s="25" t="inlineStr">
        <is>
          <t>Deputy Superviseur</t>
        </is>
      </c>
      <c r="B73" s="26" t="inlineStr">
        <is>
          <t>deputy_superviseur</t>
        </is>
      </c>
      <c r="C73" s="26" t="n">
        <v>6</v>
      </c>
      <c r="D73" s="26" t="inlineStr">
        <is>
          <t>Mes rapports</t>
        </is>
      </c>
      <c r="E73" s="26" t="inlineStr">
        <is>
          <t>Ses propres rapports, et les corrections demandées par le superviseur.</t>
        </is>
      </c>
      <c r="F73" s="36" t="inlineStr">
        <is>
          <t>Opérationnel</t>
        </is>
      </c>
      <c r="G73" s="27" t="inlineStr"/>
      <c r="H73" s="27" t="inlineStr"/>
      <c r="I73" s="27" t="inlineStr"/>
    </row>
    <row r="74">
      <c r="A74" s="28" t="inlineStr">
        <is>
          <t>Deputy Superviseur</t>
        </is>
      </c>
      <c r="B74" s="29" t="inlineStr">
        <is>
          <t>deputy_superviseur</t>
        </is>
      </c>
      <c r="C74" s="29" t="n">
        <v>7</v>
      </c>
      <c r="D74" s="29" t="inlineStr">
        <is>
          <t>Mes missions</t>
        </is>
      </c>
      <c r="E74" s="29" t="inlineStr">
        <is>
          <t>Missions d'observation assignées par le superviseur global.</t>
        </is>
      </c>
      <c r="F74" s="35" t="inlineStr">
        <is>
          <t>Opérationnel</t>
        </is>
      </c>
      <c r="G74" s="27" t="inlineStr"/>
      <c r="H74" s="27" t="inlineStr"/>
      <c r="I74" s="27" t="inlineStr"/>
    </row>
    <row r="75">
      <c r="A75" s="25" t="inlineStr">
        <is>
          <t>Deputy Superviseur</t>
        </is>
      </c>
      <c r="B75" s="26" t="inlineStr">
        <is>
          <t>deputy_superviseur</t>
        </is>
      </c>
      <c r="C75" s="26" t="n">
        <v>8</v>
      </c>
      <c r="D75" s="26" t="inlineStr">
        <is>
          <t>Messagerie</t>
        </is>
      </c>
      <c r="E75" s="26" t="inlineStr">
        <is>
          <t>Messagerie interne.</t>
        </is>
      </c>
      <c r="F75" s="36" t="inlineStr">
        <is>
          <t>Opérationnel</t>
        </is>
      </c>
      <c r="G75" s="27" t="inlineStr"/>
      <c r="H75" s="27" t="inlineStr"/>
      <c r="I75" s="27" t="inlineStr"/>
    </row>
    <row r="76">
      <c r="A76" s="28" t="inlineStr">
        <is>
          <t>Deputy Superviseur</t>
        </is>
      </c>
      <c r="B76" s="29" t="inlineStr">
        <is>
          <t>deputy_superviseur</t>
        </is>
      </c>
      <c r="C76" s="29" t="n">
        <v>9</v>
      </c>
      <c r="D76" s="29" t="inlineStr">
        <is>
          <t>Notifications</t>
        </is>
      </c>
      <c r="E76" s="29" t="inlineStr">
        <is>
          <t>Centre de notifications.</t>
        </is>
      </c>
      <c r="F76" s="35" t="inlineStr">
        <is>
          <t>Opérationnel</t>
        </is>
      </c>
      <c r="G76" s="27" t="inlineStr"/>
      <c r="H76" s="27" t="inlineStr"/>
      <c r="I76" s="27" t="inlineStr"/>
    </row>
    <row r="77">
      <c r="A77" s="28" t="inlineStr">
        <is>
          <t>Conseiller pédagogique</t>
        </is>
      </c>
      <c r="B77" s="29" t="inlineStr">
        <is>
          <t>pedagogical_advisor</t>
        </is>
      </c>
      <c r="C77" s="29" t="n">
        <v>1</v>
      </c>
      <c r="D77" s="29" t="inlineStr">
        <is>
          <t>Mes tâches</t>
        </is>
      </c>
      <c r="E77" s="29" t="inlineStr">
        <is>
          <t>Agrégation : groupes sans coach, remplacements à pourvoir, honoraires à valider, dossiers à réaffecter, prospects en attente.</t>
        </is>
      </c>
      <c r="F77" s="35" t="inlineStr">
        <is>
          <t>Opérationnel</t>
        </is>
      </c>
      <c r="G77" s="27" t="inlineStr"/>
      <c r="H77" s="27" t="inlineStr"/>
      <c r="I77" s="27" t="inlineStr"/>
    </row>
    <row r="78">
      <c r="A78" s="25" t="inlineStr">
        <is>
          <t>Conseiller pédagogique</t>
        </is>
      </c>
      <c r="B78" s="26" t="inlineStr">
        <is>
          <t>pedagogical_advisor</t>
        </is>
      </c>
      <c r="C78" s="26" t="n">
        <v>2</v>
      </c>
      <c r="D78" s="26" t="inlineStr">
        <is>
          <t>Tableau de bord</t>
        </is>
      </c>
      <c r="E78" s="26" t="inlineStr">
        <is>
          <t>Synthèse de son portefeuille de classes privées et de coachs.</t>
        </is>
      </c>
      <c r="F78" s="36" t="inlineStr">
        <is>
          <t>Opérationnel</t>
        </is>
      </c>
      <c r="G78" s="27" t="inlineStr"/>
      <c r="H78" s="27" t="inlineStr"/>
      <c r="I78" s="27" t="inlineStr"/>
    </row>
    <row r="79">
      <c r="A79" s="28" t="inlineStr">
        <is>
          <t>Conseiller pédagogique</t>
        </is>
      </c>
      <c r="B79" s="29" t="inlineStr">
        <is>
          <t>pedagogical_advisor</t>
        </is>
      </c>
      <c r="C79" s="29" t="n">
        <v>3</v>
      </c>
      <c r="D79" s="29" t="inlineStr">
        <is>
          <t>Prospects parcours</t>
        </is>
      </c>
      <c r="E79" s="29" t="inlineStr">
        <is>
          <t>Qualification des prospects orientés vers le coaching privé.</t>
        </is>
      </c>
      <c r="F79" s="35" t="inlineStr">
        <is>
          <t>Opérationnel</t>
        </is>
      </c>
      <c r="G79" s="27" t="inlineStr"/>
      <c r="H79" s="27" t="inlineStr"/>
      <c r="I79" s="27" t="inlineStr"/>
    </row>
    <row r="80">
      <c r="A80" s="25" t="inlineStr">
        <is>
          <t>Conseiller pédagogique</t>
        </is>
      </c>
      <c r="B80" s="26" t="inlineStr">
        <is>
          <t>pedagogical_advisor</t>
        </is>
      </c>
      <c r="C80" s="26" t="n">
        <v>4</v>
      </c>
      <c r="D80" s="26" t="inlineStr">
        <is>
          <t>Apprenants</t>
        </is>
      </c>
      <c r="E80" s="26" t="inlineStr">
        <is>
          <t>Fiche apprenant complète : informations, présences, tests de niveau, paiement, notes, progression, disponibilités, chat.</t>
        </is>
      </c>
      <c r="F80" s="36" t="inlineStr">
        <is>
          <t>Opérationnel</t>
        </is>
      </c>
      <c r="G80" s="27" t="inlineStr"/>
      <c r="H80" s="27" t="inlineStr"/>
      <c r="I80" s="27" t="inlineStr"/>
    </row>
    <row r="81">
      <c r="A81" s="28" t="inlineStr">
        <is>
          <t>Conseiller pédagogique</t>
        </is>
      </c>
      <c r="B81" s="29" t="inlineStr">
        <is>
          <t>pedagogical_advisor</t>
        </is>
      </c>
      <c r="C81" s="29" t="n">
        <v>5</v>
      </c>
      <c r="D81" s="29" t="inlineStr">
        <is>
          <t>Groupes</t>
        </is>
      </c>
      <c r="E81" s="29" t="inlineStr">
        <is>
          <t>Classes privées : création, affectation de coach, horaires.</t>
        </is>
      </c>
      <c r="F81" s="35" t="inlineStr">
        <is>
          <t>Opérationnel</t>
        </is>
      </c>
      <c r="G81" s="27" t="inlineStr"/>
      <c r="H81" s="27" t="inlineStr"/>
      <c r="I81" s="27" t="inlineStr"/>
    </row>
    <row r="82">
      <c r="A82" s="25" t="inlineStr">
        <is>
          <t>Conseiller pédagogique</t>
        </is>
      </c>
      <c r="B82" s="26" t="inlineStr">
        <is>
          <t>pedagogical_advisor</t>
        </is>
      </c>
      <c r="C82" s="26" t="n">
        <v>6</v>
      </c>
      <c r="D82" s="26" t="inlineStr">
        <is>
          <t>Coachs</t>
        </is>
      </c>
      <c r="E82" s="26" t="inlineStr">
        <is>
          <t>Coachs de son périmètre, catégories et disponibilités.</t>
        </is>
      </c>
      <c r="F82" s="36" t="inlineStr">
        <is>
          <t>Opérationnel</t>
        </is>
      </c>
      <c r="G82" s="27" t="inlineStr"/>
      <c r="H82" s="27" t="inlineStr"/>
      <c r="I82" s="27" t="inlineStr"/>
    </row>
    <row r="83">
      <c r="A83" s="28" t="inlineStr">
        <is>
          <t>Conseiller pédagogique</t>
        </is>
      </c>
      <c r="B83" s="29" t="inlineStr">
        <is>
          <t>pedagogical_advisor</t>
        </is>
      </c>
      <c r="C83" s="29" t="n">
        <v>7</v>
      </c>
      <c r="D83" s="29" t="inlineStr">
        <is>
          <t>Remplacements</t>
        </is>
      </c>
      <c r="E83" s="29" t="inlineStr">
        <is>
          <t>Demandes de remplacement à pourvoir.</t>
        </is>
      </c>
      <c r="F83" s="35" t="inlineStr">
        <is>
          <t>Opérationnel</t>
        </is>
      </c>
      <c r="G83" s="27" t="inlineStr"/>
      <c r="H83" s="27" t="inlineStr"/>
      <c r="I83" s="27" t="inlineStr"/>
    </row>
    <row r="84">
      <c r="A84" s="25" t="inlineStr">
        <is>
          <t>Conseiller pédagogique</t>
        </is>
      </c>
      <c r="B84" s="26" t="inlineStr">
        <is>
          <t>pedagogical_advisor</t>
        </is>
      </c>
      <c r="C84" s="26" t="n">
        <v>8</v>
      </c>
      <c r="D84" s="26" t="inlineStr">
        <is>
          <t>Honoraires</t>
        </is>
      </c>
      <c r="E84" s="26" t="inlineStr">
        <is>
          <t>Validation des honoraires des coachs sur la grille tarifaire.</t>
        </is>
      </c>
      <c r="F84" s="36" t="inlineStr">
        <is>
          <t>Opérationnel</t>
        </is>
      </c>
      <c r="G84" s="27" t="inlineStr"/>
      <c r="H84" s="27" t="inlineStr"/>
      <c r="I84" s="27" t="inlineStr"/>
    </row>
    <row r="85">
      <c r="A85" s="28" t="inlineStr">
        <is>
          <t>Conseiller pédagogique</t>
        </is>
      </c>
      <c r="B85" s="29" t="inlineStr">
        <is>
          <t>pedagogical_advisor</t>
        </is>
      </c>
      <c r="C85" s="29" t="n">
        <v>9</v>
      </c>
      <c r="D85" s="29" t="inlineStr">
        <is>
          <t>Évaluations parents</t>
        </is>
      </c>
      <c r="E85" s="29" t="inlineStr">
        <is>
          <t>Évaluations déposées par les parents.</t>
        </is>
      </c>
      <c r="F85" s="35" t="inlineStr">
        <is>
          <t>Opérationnel</t>
        </is>
      </c>
      <c r="G85" s="27" t="inlineStr"/>
      <c r="H85" s="27" t="inlineStr"/>
      <c r="I85" s="27" t="inlineStr"/>
    </row>
    <row r="86">
      <c r="A86" s="25" t="inlineStr">
        <is>
          <t>Conseiller pédagogique</t>
        </is>
      </c>
      <c r="B86" s="26" t="inlineStr">
        <is>
          <t>pedagogical_advisor</t>
        </is>
      </c>
      <c r="C86" s="26" t="n">
        <v>10</v>
      </c>
      <c r="D86" s="26" t="inlineStr">
        <is>
          <t>Évaluations apprenants</t>
        </is>
      </c>
      <c r="E86" s="26" t="inlineStr">
        <is>
          <t>Appréciations des apprenants sur leurs séances.</t>
        </is>
      </c>
      <c r="F86" s="36" t="inlineStr">
        <is>
          <t>Opérationnel</t>
        </is>
      </c>
      <c r="G86" s="27" t="inlineStr"/>
      <c r="H86" s="27" t="inlineStr"/>
      <c r="I86" s="27" t="inlineStr"/>
    </row>
    <row r="87">
      <c r="A87" s="28" t="inlineStr">
        <is>
          <t>Conseiller pédagogique</t>
        </is>
      </c>
      <c r="B87" s="29" t="inlineStr">
        <is>
          <t>pedagogical_advisor</t>
        </is>
      </c>
      <c r="C87" s="29" t="n">
        <v>11</v>
      </c>
      <c r="D87" s="29" t="inlineStr">
        <is>
          <t>Rapports Superviseur</t>
        </is>
      </c>
      <c r="E87" s="29" t="inlineStr">
        <is>
          <t>Rapports d'observation transmis par la supervision.</t>
        </is>
      </c>
      <c r="F87" s="35" t="inlineStr">
        <is>
          <t>Opérationnel</t>
        </is>
      </c>
      <c r="G87" s="27" t="inlineStr"/>
      <c r="H87" s="27" t="inlineStr"/>
      <c r="I87" s="27" t="inlineStr"/>
    </row>
    <row r="88">
      <c r="A88" s="25" t="inlineStr">
        <is>
          <t>Conseiller pédagogique</t>
        </is>
      </c>
      <c r="B88" s="26" t="inlineStr">
        <is>
          <t>pedagogical_advisor</t>
        </is>
      </c>
      <c r="C88" s="26" t="n">
        <v>12</v>
      </c>
      <c r="D88" s="26" t="inlineStr">
        <is>
          <t>Dossiers à réaffecter</t>
        </is>
      </c>
      <c r="E88" s="26" t="inlineStr">
        <is>
          <t>Demandes de transfert en attente de réaffectation.</t>
        </is>
      </c>
      <c r="F88" s="36" t="inlineStr">
        <is>
          <t>Opérationnel</t>
        </is>
      </c>
      <c r="G88" s="27" t="inlineStr"/>
      <c r="H88" s="27" t="inlineStr"/>
      <c r="I88" s="27" t="inlineStr"/>
    </row>
    <row r="89">
      <c r="A89" s="28" t="inlineStr">
        <is>
          <t>Conseiller pédagogique</t>
        </is>
      </c>
      <c r="B89" s="29" t="inlineStr">
        <is>
          <t>pedagogical_advisor</t>
        </is>
      </c>
      <c r="C89" s="29" t="n">
        <v>13</v>
      </c>
      <c r="D89" s="29" t="inlineStr">
        <is>
          <t>Messages</t>
        </is>
      </c>
      <c r="E89" s="29" t="inlineStr">
        <is>
          <t>Messagerie interne et chats de classe.</t>
        </is>
      </c>
      <c r="F89" s="35" t="inlineStr">
        <is>
          <t>Opérationnel</t>
        </is>
      </c>
      <c r="G89" s="27" t="inlineStr"/>
      <c r="H89" s="27" t="inlineStr"/>
      <c r="I89" s="27" t="inlineStr"/>
    </row>
    <row r="90">
      <c r="A90" s="25" t="inlineStr">
        <is>
          <t>Conseiller pédagogique</t>
        </is>
      </c>
      <c r="B90" s="26" t="inlineStr">
        <is>
          <t>pedagogical_advisor</t>
        </is>
      </c>
      <c r="C90" s="26" t="n">
        <v>14</v>
      </c>
      <c r="D90" s="26" t="inlineStr">
        <is>
          <t>Notifications</t>
        </is>
      </c>
      <c r="E90" s="26" t="inlineStr">
        <is>
          <t>Centre de notifications.</t>
        </is>
      </c>
      <c r="F90" s="36" t="inlineStr">
        <is>
          <t>Opérationnel</t>
        </is>
      </c>
      <c r="G90" s="27" t="inlineStr"/>
      <c r="H90" s="27" t="inlineStr"/>
      <c r="I90" s="27" t="inlineStr"/>
    </row>
    <row r="91">
      <c r="A91" s="28" t="inlineStr">
        <is>
          <t>Assistante commerciale</t>
        </is>
      </c>
      <c r="B91" s="29" t="inlineStr">
        <is>
          <t>commercial</t>
        </is>
      </c>
      <c r="C91" s="29" t="n">
        <v>1</v>
      </c>
      <c r="D91" s="29" t="inlineStr">
        <is>
          <t>Mes tâches</t>
        </is>
      </c>
      <c r="E91" s="29" t="inlineStr">
        <is>
          <t>Agrégation : tests à corriger, dossiers à relancer, paiements en retard.</t>
        </is>
      </c>
      <c r="F91" s="35" t="inlineStr">
        <is>
          <t>Opérationnel</t>
        </is>
      </c>
      <c r="G91" s="27" t="inlineStr"/>
      <c r="H91" s="27" t="inlineStr"/>
      <c r="I91" s="27" t="inlineStr"/>
    </row>
    <row r="92">
      <c r="A92" s="25" t="inlineStr">
        <is>
          <t>Assistante commerciale</t>
        </is>
      </c>
      <c r="B92" s="26" t="inlineStr">
        <is>
          <t>commercial</t>
        </is>
      </c>
      <c r="C92" s="26" t="n">
        <v>2</v>
      </c>
      <c r="D92" s="26" t="inlineStr">
        <is>
          <t>Tableau de bord</t>
        </is>
      </c>
      <c r="E92" s="26" t="inlineStr">
        <is>
          <t>Synthèse de son portefeuille : dossiers, conversions, encaissements.</t>
        </is>
      </c>
      <c r="F92" s="36" t="inlineStr">
        <is>
          <t>Opérationnel</t>
        </is>
      </c>
      <c r="G92" s="27" t="inlineStr"/>
      <c r="H92" s="27" t="inlineStr"/>
      <c r="I92" s="27" t="inlineStr"/>
    </row>
    <row r="93">
      <c r="A93" s="28" t="inlineStr">
        <is>
          <t>Assistante commerciale</t>
        </is>
      </c>
      <c r="B93" s="29" t="inlineStr">
        <is>
          <t>commercial</t>
        </is>
      </c>
      <c r="C93" s="29" t="n">
        <v>3</v>
      </c>
      <c r="D93" s="29" t="inlineStr">
        <is>
          <t>Prospects parcours</t>
        </is>
      </c>
      <c r="E93" s="29" t="inlineStr">
        <is>
          <t>Dossiers de prospection : qualification, relance, conversion.</t>
        </is>
      </c>
      <c r="F93" s="35" t="inlineStr">
        <is>
          <t>Opérationnel</t>
        </is>
      </c>
      <c r="G93" s="27" t="inlineStr"/>
      <c r="H93" s="27" t="inlineStr"/>
      <c r="I93" s="27" t="inlineStr"/>
    </row>
    <row r="94">
      <c r="A94" s="25" t="inlineStr">
        <is>
          <t>Assistante commerciale</t>
        </is>
      </c>
      <c r="B94" s="26" t="inlineStr">
        <is>
          <t>commercial</t>
        </is>
      </c>
      <c r="C94" s="26" t="n">
        <v>4</v>
      </c>
      <c r="D94" s="26" t="inlineStr">
        <is>
          <t>Tests reçus</t>
        </is>
      </c>
      <c r="E94" s="26" t="inlineStr">
        <is>
          <t>Tests de niveau reçus, correction des réponses orales et écrites, attribution du niveau.</t>
        </is>
      </c>
      <c r="F94" s="36" t="inlineStr">
        <is>
          <t>Opérationnel</t>
        </is>
      </c>
      <c r="G94" s="27" t="inlineStr"/>
      <c r="H94" s="27" t="inlineStr"/>
      <c r="I94" s="27" t="inlineStr"/>
    </row>
    <row r="95">
      <c r="A95" s="28" t="inlineStr">
        <is>
          <t>Assistante commerciale</t>
        </is>
      </c>
      <c r="B95" s="29" t="inlineStr">
        <is>
          <t>commercial</t>
        </is>
      </c>
      <c r="C95" s="29" t="n">
        <v>5</v>
      </c>
      <c r="D95" s="29" t="inlineStr">
        <is>
          <t>Inscriptions</t>
        </is>
      </c>
      <c r="E95" s="29" t="inlineStr">
        <is>
          <t>Transformation d'un prospect en apprenant inscrit.</t>
        </is>
      </c>
      <c r="F95" s="35" t="inlineStr">
        <is>
          <t>Opérationnel</t>
        </is>
      </c>
      <c r="G95" s="27" t="inlineStr"/>
      <c r="H95" s="27" t="inlineStr"/>
      <c r="I95" s="27" t="inlineStr"/>
    </row>
    <row r="96">
      <c r="A96" s="25" t="inlineStr">
        <is>
          <t>Assistante commerciale</t>
        </is>
      </c>
      <c r="B96" s="26" t="inlineStr">
        <is>
          <t>commercial</t>
        </is>
      </c>
      <c r="C96" s="26" t="n">
        <v>6</v>
      </c>
      <c r="D96" s="26" t="inlineStr">
        <is>
          <t>Mes classes</t>
        </is>
      </c>
      <c r="E96" s="26" t="inlineStr">
        <is>
          <t>Classes de son périmètre (présentiel).</t>
        </is>
      </c>
      <c r="F96" s="36" t="inlineStr">
        <is>
          <t>Opérationnel</t>
        </is>
      </c>
      <c r="G96" s="27" t="inlineStr"/>
      <c r="H96" s="27" t="inlineStr"/>
      <c r="I96" s="27" t="inlineStr"/>
    </row>
    <row r="97">
      <c r="A97" s="28" t="inlineStr">
        <is>
          <t>Assistante commerciale</t>
        </is>
      </c>
      <c r="B97" s="29" t="inlineStr">
        <is>
          <t>commercial</t>
        </is>
      </c>
      <c r="C97" s="29" t="n">
        <v>7</v>
      </c>
      <c r="D97" s="29" t="inlineStr">
        <is>
          <t>Plannings</t>
        </is>
      </c>
      <c r="E97" s="29" t="inlineStr">
        <is>
          <t>Planning des classes de son périmètre.</t>
        </is>
      </c>
      <c r="F97" s="35" t="inlineStr">
        <is>
          <t>Opérationnel</t>
        </is>
      </c>
      <c r="G97" s="27" t="inlineStr"/>
      <c r="H97" s="27" t="inlineStr"/>
      <c r="I97" s="27" t="inlineStr"/>
    </row>
    <row r="98">
      <c r="A98" s="25" t="inlineStr">
        <is>
          <t>Assistante commerciale</t>
        </is>
      </c>
      <c r="B98" s="26" t="inlineStr">
        <is>
          <t>commercial</t>
        </is>
      </c>
      <c r="C98" s="26" t="n">
        <v>8</v>
      </c>
      <c r="D98" s="26" t="inlineStr">
        <is>
          <t>Mes apprenants</t>
        </is>
      </c>
      <c r="E98" s="26" t="inlineStr">
        <is>
          <t>Fiche apprenant : informations, accès, parent, présences, tests de niveau, paiement, documents, notes, historique. Export PDF.</t>
        </is>
      </c>
      <c r="F98" s="36" t="inlineStr">
        <is>
          <t>Opérationnel</t>
        </is>
      </c>
      <c r="G98" s="27" t="inlineStr"/>
      <c r="H98" s="27" t="inlineStr"/>
      <c r="I98" s="27" t="inlineStr"/>
    </row>
    <row r="99">
      <c r="A99" s="28" t="inlineStr">
        <is>
          <t>Assistante commerciale</t>
        </is>
      </c>
      <c r="B99" s="29" t="inlineStr">
        <is>
          <t>commercial</t>
        </is>
      </c>
      <c r="C99" s="29" t="n">
        <v>9</v>
      </c>
      <c r="D99" s="29" t="inlineStr">
        <is>
          <t>Dossiers à réaffecter</t>
        </is>
      </c>
      <c r="E99" s="29" t="inlineStr">
        <is>
          <t>Demandes de transfert de ses apprenants ; réaffectation réservée aux assistantes présentiel.</t>
        </is>
      </c>
      <c r="F99" s="35" t="inlineStr">
        <is>
          <t>Opérationnel</t>
        </is>
      </c>
      <c r="G99" s="27" t="inlineStr"/>
      <c r="H99" s="27" t="inlineStr"/>
      <c r="I99" s="27" t="inlineStr"/>
    </row>
    <row r="100">
      <c r="A100" s="25" t="inlineStr">
        <is>
          <t>Assistante commerciale</t>
        </is>
      </c>
      <c r="B100" s="26" t="inlineStr">
        <is>
          <t>commercial</t>
        </is>
      </c>
      <c r="C100" s="26" t="n">
        <v>10</v>
      </c>
      <c r="D100" s="26" t="inlineStr">
        <is>
          <t>Suivi démarrage</t>
        </is>
      </c>
      <c r="E100" s="26" t="inlineStr">
        <is>
          <t>Suivi des premières semaines de formation.</t>
        </is>
      </c>
      <c r="F100" s="36" t="inlineStr">
        <is>
          <t>Opérationnel</t>
        </is>
      </c>
      <c r="G100" s="27" t="inlineStr"/>
      <c r="H100" s="27" t="inlineStr"/>
      <c r="I100" s="27" t="inlineStr"/>
    </row>
    <row r="101">
      <c r="A101" s="28" t="inlineStr">
        <is>
          <t>Assistante commerciale</t>
        </is>
      </c>
      <c r="B101" s="29" t="inlineStr">
        <is>
          <t>commercial</t>
        </is>
      </c>
      <c r="C101" s="29" t="n">
        <v>11</v>
      </c>
      <c r="D101" s="29" t="inlineStr">
        <is>
          <t>Paiements</t>
        </is>
      </c>
      <c r="E101" s="29" t="inlineStr">
        <is>
          <t>Échéanciers mensuels, encaissements, relances, plan de paiement, pauses.</t>
        </is>
      </c>
      <c r="F101" s="35" t="inlineStr">
        <is>
          <t>Opérationnel</t>
        </is>
      </c>
      <c r="G101" s="27" t="inlineStr"/>
      <c r="H101" s="27" t="inlineStr"/>
      <c r="I101" s="27" t="inlineStr"/>
    </row>
    <row r="102">
      <c r="A102" s="25" t="inlineStr">
        <is>
          <t>Assistante commerciale</t>
        </is>
      </c>
      <c r="B102" s="26" t="inlineStr">
        <is>
          <t>commercial</t>
        </is>
      </c>
      <c r="C102" s="26" t="n">
        <v>12</v>
      </c>
      <c r="D102" s="26" t="inlineStr">
        <is>
          <t>Comptes entreprises</t>
        </is>
      </c>
      <c r="E102" s="26" t="inlineStr">
        <is>
          <t>Comptes clients B2B.</t>
        </is>
      </c>
      <c r="F102" s="36" t="inlineStr">
        <is>
          <t>Opérationnel</t>
        </is>
      </c>
      <c r="G102" s="27" t="inlineStr"/>
      <c r="H102" s="27" t="inlineStr"/>
      <c r="I102" s="27" t="inlineStr"/>
    </row>
    <row r="103">
      <c r="A103" s="28" t="inlineStr">
        <is>
          <t>Assistante commerciale</t>
        </is>
      </c>
      <c r="B103" s="29" t="inlineStr">
        <is>
          <t>commercial</t>
        </is>
      </c>
      <c r="C103" s="29" t="n">
        <v>13</v>
      </c>
      <c r="D103" s="29" t="inlineStr">
        <is>
          <t>Pipeline B2B</t>
        </is>
      </c>
      <c r="E103" s="29" t="inlineStr">
        <is>
          <t>Opportunités entreprises et leur avancement.</t>
        </is>
      </c>
      <c r="F103" s="35" t="inlineStr">
        <is>
          <t>Opérationnel</t>
        </is>
      </c>
      <c r="G103" s="27" t="inlineStr"/>
      <c r="H103" s="27" t="inlineStr"/>
      <c r="I103" s="27" t="inlineStr"/>
    </row>
    <row r="104">
      <c r="A104" s="25" t="inlineStr">
        <is>
          <t>Assistante commerciale</t>
        </is>
      </c>
      <c r="B104" s="26" t="inlineStr">
        <is>
          <t>commercial</t>
        </is>
      </c>
      <c r="C104" s="26" t="n">
        <v>14</v>
      </c>
      <c r="D104" s="26" t="inlineStr">
        <is>
          <t>Documents</t>
        </is>
      </c>
      <c r="E104" s="26" t="inlineStr">
        <is>
          <t>Devis, contrats et pièces des dossiers entreprises.</t>
        </is>
      </c>
      <c r="F104" s="36" t="inlineStr">
        <is>
          <t>Opérationnel</t>
        </is>
      </c>
      <c r="G104" s="27" t="inlineStr"/>
      <c r="H104" s="27" t="inlineStr"/>
      <c r="I104" s="27" t="inlineStr"/>
    </row>
    <row r="105">
      <c r="A105" s="28" t="inlineStr">
        <is>
          <t>Assistante commerciale</t>
        </is>
      </c>
      <c r="B105" s="29" t="inlineStr">
        <is>
          <t>commercial</t>
        </is>
      </c>
      <c r="C105" s="29" t="n">
        <v>15</v>
      </c>
      <c r="D105" s="29" t="inlineStr">
        <is>
          <t>Facturation</t>
        </is>
      </c>
      <c r="E105" s="29" t="inlineStr">
        <is>
          <t>Facturation des comptes entreprises.</t>
        </is>
      </c>
      <c r="F105" s="35" t="inlineStr">
        <is>
          <t>Opérationnel</t>
        </is>
      </c>
      <c r="G105" s="27" t="inlineStr"/>
      <c r="H105" s="27" t="inlineStr"/>
      <c r="I105" s="27" t="inlineStr"/>
    </row>
    <row r="106">
      <c r="A106" s="25" t="inlineStr">
        <is>
          <t>Assistante commerciale</t>
        </is>
      </c>
      <c r="B106" s="26" t="inlineStr">
        <is>
          <t>commercial</t>
        </is>
      </c>
      <c r="C106" s="26" t="n">
        <v>16</v>
      </c>
      <c r="D106" s="26" t="inlineStr">
        <is>
          <t>Sondages</t>
        </is>
      </c>
      <c r="E106" s="26" t="inlineStr">
        <is>
          <t>Sondages adressés à ses clients.</t>
        </is>
      </c>
      <c r="F106" s="36" t="inlineStr">
        <is>
          <t>Opérationnel</t>
        </is>
      </c>
      <c r="G106" s="27" t="inlineStr"/>
      <c r="H106" s="27" t="inlineStr"/>
      <c r="I106" s="27" t="inlineStr"/>
    </row>
    <row r="107">
      <c r="A107" s="28" t="inlineStr">
        <is>
          <t>Assistante commerciale</t>
        </is>
      </c>
      <c r="B107" s="29" t="inlineStr">
        <is>
          <t>commercial</t>
        </is>
      </c>
      <c r="C107" s="29" t="n">
        <v>17</v>
      </c>
      <c r="D107" s="29" t="inlineStr">
        <is>
          <t>Messages</t>
        </is>
      </c>
      <c r="E107" s="29" t="inlineStr">
        <is>
          <t>Messagerie interne et chats de classe.</t>
        </is>
      </c>
      <c r="F107" s="35" t="inlineStr">
        <is>
          <t>Opérationnel</t>
        </is>
      </c>
      <c r="G107" s="27" t="inlineStr"/>
      <c r="H107" s="27" t="inlineStr"/>
      <c r="I107" s="27" t="inlineStr"/>
    </row>
    <row r="108">
      <c r="A108" s="25" t="inlineStr">
        <is>
          <t>Assistante commerciale</t>
        </is>
      </c>
      <c r="B108" s="26" t="inlineStr">
        <is>
          <t>commercial</t>
        </is>
      </c>
      <c r="C108" s="26" t="n">
        <v>18</v>
      </c>
      <c r="D108" s="26" t="inlineStr">
        <is>
          <t>Notifications</t>
        </is>
      </c>
      <c r="E108" s="26" t="inlineStr">
        <is>
          <t>Centre de notifications.</t>
        </is>
      </c>
      <c r="F108" s="36" t="inlineStr">
        <is>
          <t>Opérationnel</t>
        </is>
      </c>
      <c r="G108" s="27" t="inlineStr"/>
      <c r="H108" s="27" t="inlineStr"/>
      <c r="I108" s="27" t="inlineStr"/>
    </row>
    <row r="109">
      <c r="A109" s="28" t="inlineStr">
        <is>
          <t>Assistante onboarding</t>
        </is>
      </c>
      <c r="B109" s="29" t="inlineStr">
        <is>
          <t>onboarding</t>
        </is>
      </c>
      <c r="C109" s="29" t="n">
        <v>1</v>
      </c>
      <c r="D109" s="29" t="inlineStr">
        <is>
          <t>Mes tâches</t>
        </is>
      </c>
      <c r="E109" s="29" t="inlineStr">
        <is>
          <t>Agrégation : accès à créer, kick-off à envoyer, dossiers à réaffecter.</t>
        </is>
      </c>
      <c r="F109" s="35" t="inlineStr">
        <is>
          <t>Opérationnel</t>
        </is>
      </c>
      <c r="G109" s="27" t="inlineStr"/>
      <c r="H109" s="27" t="inlineStr"/>
      <c r="I109" s="27" t="inlineStr"/>
    </row>
    <row r="110">
      <c r="A110" s="25" t="inlineStr">
        <is>
          <t>Assistante onboarding</t>
        </is>
      </c>
      <c r="B110" s="26" t="inlineStr">
        <is>
          <t>onboarding</t>
        </is>
      </c>
      <c r="C110" s="26" t="n">
        <v>2</v>
      </c>
      <c r="D110" s="26" t="inlineStr">
        <is>
          <t>Tableau de bord</t>
        </is>
      </c>
      <c r="E110" s="26" t="inlineStr">
        <is>
          <t>Synthèse des entrées en formation.</t>
        </is>
      </c>
      <c r="F110" s="36" t="inlineStr">
        <is>
          <t>Opérationnel</t>
        </is>
      </c>
      <c r="G110" s="27" t="inlineStr"/>
      <c r="H110" s="27" t="inlineStr"/>
      <c r="I110" s="27" t="inlineStr"/>
    </row>
    <row r="111">
      <c r="A111" s="28" t="inlineStr">
        <is>
          <t>Assistante onboarding</t>
        </is>
      </c>
      <c r="B111" s="29" t="inlineStr">
        <is>
          <t>onboarding</t>
        </is>
      </c>
      <c r="C111" s="29" t="n">
        <v>3</v>
      </c>
      <c r="D111" s="29" t="inlineStr">
        <is>
          <t>Nouveaux apprenants</t>
        </is>
      </c>
      <c r="E111" s="29" t="inlineStr">
        <is>
          <t>Dossiers convertis à intégrer : création des accès, envoi du kick-off.</t>
        </is>
      </c>
      <c r="F111" s="35" t="inlineStr">
        <is>
          <t>Opérationnel</t>
        </is>
      </c>
      <c r="G111" s="27" t="inlineStr"/>
      <c r="H111" s="27" t="inlineStr"/>
      <c r="I111" s="27" t="inlineStr"/>
    </row>
    <row r="112">
      <c r="A112" s="25" t="inlineStr">
        <is>
          <t>Assistante onboarding</t>
        </is>
      </c>
      <c r="B112" s="26" t="inlineStr">
        <is>
          <t>onboarding</t>
        </is>
      </c>
      <c r="C112" s="26" t="n">
        <v>4</v>
      </c>
      <c r="D112" s="26" t="inlineStr">
        <is>
          <t>Mes apprenants</t>
        </is>
      </c>
      <c r="E112" s="26" t="inlineStr">
        <is>
          <t>Fiche apprenant : profil, planning, séances, test de niveau, paiements, notes, historique, présences. Export PDF.</t>
        </is>
      </c>
      <c r="F112" s="36" t="inlineStr">
        <is>
          <t>Opérationnel</t>
        </is>
      </c>
      <c r="G112" s="27" t="inlineStr"/>
      <c r="H112" s="27" t="inlineStr"/>
      <c r="I112" s="27" t="inlineStr"/>
    </row>
    <row r="113">
      <c r="A113" s="28" t="inlineStr">
        <is>
          <t>Assistante onboarding</t>
        </is>
      </c>
      <c r="B113" s="29" t="inlineStr">
        <is>
          <t>onboarding</t>
        </is>
      </c>
      <c r="C113" s="29" t="n">
        <v>5</v>
      </c>
      <c r="D113" s="29" t="inlineStr">
        <is>
          <t>Suivi démarrage</t>
        </is>
      </c>
      <c r="E113" s="29" t="inlineStr">
        <is>
          <t>Suivi des premières séances et des points de contrôle.</t>
        </is>
      </c>
      <c r="F113" s="35" t="inlineStr">
        <is>
          <t>Opérationnel</t>
        </is>
      </c>
      <c r="G113" s="27" t="inlineStr"/>
      <c r="H113" s="27" t="inlineStr"/>
      <c r="I113" s="27" t="inlineStr"/>
    </row>
    <row r="114">
      <c r="A114" s="25" t="inlineStr">
        <is>
          <t>Assistante onboarding</t>
        </is>
      </c>
      <c r="B114" s="26" t="inlineStr">
        <is>
          <t>onboarding</t>
        </is>
      </c>
      <c r="C114" s="26" t="n">
        <v>6</v>
      </c>
      <c r="D114" s="26" t="inlineStr">
        <is>
          <t>Bilans &amp; Renouvellements</t>
        </is>
      </c>
      <c r="E114" s="26" t="inlineStr">
        <is>
          <t>Bilans de fin de cycle et renouvellements d'inscription.</t>
        </is>
      </c>
      <c r="F114" s="36" t="inlineStr">
        <is>
          <t>Opérationnel</t>
        </is>
      </c>
      <c r="G114" s="27" t="inlineStr"/>
      <c r="H114" s="27" t="inlineStr"/>
      <c r="I114" s="27" t="inlineStr"/>
    </row>
    <row r="115">
      <c r="A115" s="28" t="inlineStr">
        <is>
          <t>Assistante onboarding</t>
        </is>
      </c>
      <c r="B115" s="29" t="inlineStr">
        <is>
          <t>onboarding</t>
        </is>
      </c>
      <c r="C115" s="29" t="n">
        <v>7</v>
      </c>
      <c r="D115" s="29" t="inlineStr">
        <is>
          <t>Groupes</t>
        </is>
      </c>
      <c r="E115" s="29" t="inlineStr">
        <is>
          <t>Classes en ligne : création, affectation, horaires, import Excel.</t>
        </is>
      </c>
      <c r="F115" s="35" t="inlineStr">
        <is>
          <t>Opérationnel</t>
        </is>
      </c>
      <c r="G115" s="27" t="inlineStr"/>
      <c r="H115" s="27" t="inlineStr"/>
      <c r="I115" s="27" t="inlineStr"/>
    </row>
    <row r="116">
      <c r="A116" s="25" t="inlineStr">
        <is>
          <t>Assistante onboarding</t>
        </is>
      </c>
      <c r="B116" s="26" t="inlineStr">
        <is>
          <t>onboarding</t>
        </is>
      </c>
      <c r="C116" s="26" t="n">
        <v>8</v>
      </c>
      <c r="D116" s="26" t="inlineStr">
        <is>
          <t>Dossiers à réaffecter</t>
        </is>
      </c>
      <c r="E116" s="26" t="inlineStr">
        <is>
          <t>Demandes de transfert des classes en ligne, réaffectation après test de niveau.</t>
        </is>
      </c>
      <c r="F116" s="36" t="inlineStr">
        <is>
          <t>Opérationnel</t>
        </is>
      </c>
      <c r="G116" s="27" t="inlineStr"/>
      <c r="H116" s="27" t="inlineStr"/>
      <c r="I116" s="27" t="inlineStr"/>
    </row>
    <row r="117">
      <c r="A117" s="28" t="inlineStr">
        <is>
          <t>Assistante onboarding</t>
        </is>
      </c>
      <c r="B117" s="29" t="inlineStr">
        <is>
          <t>onboarding</t>
        </is>
      </c>
      <c r="C117" s="29" t="n">
        <v>9</v>
      </c>
      <c r="D117" s="29" t="inlineStr">
        <is>
          <t>Plannings</t>
        </is>
      </c>
      <c r="E117" s="29" t="inlineStr">
        <is>
          <t>Planning des classes en ligne.</t>
        </is>
      </c>
      <c r="F117" s="35" t="inlineStr">
        <is>
          <t>Opérationnel</t>
        </is>
      </c>
      <c r="G117" s="27" t="inlineStr"/>
      <c r="H117" s="27" t="inlineStr"/>
      <c r="I117" s="27" t="inlineStr"/>
    </row>
    <row r="118">
      <c r="A118" s="25" t="inlineStr">
        <is>
          <t>Assistante onboarding</t>
        </is>
      </c>
      <c r="B118" s="26" t="inlineStr">
        <is>
          <t>onboarding</t>
        </is>
      </c>
      <c r="C118" s="26" t="n">
        <v>10</v>
      </c>
      <c r="D118" s="26" t="inlineStr">
        <is>
          <t>Coachs</t>
        </is>
      </c>
      <c r="E118" s="26" t="inlineStr">
        <is>
          <t>Coachs des classes en ligne.</t>
        </is>
      </c>
      <c r="F118" s="36" t="inlineStr">
        <is>
          <t>Opérationnel</t>
        </is>
      </c>
      <c r="G118" s="27" t="inlineStr"/>
      <c r="H118" s="27" t="inlineStr"/>
      <c r="I118" s="27" t="inlineStr"/>
    </row>
    <row r="119">
      <c r="A119" s="28" t="inlineStr">
        <is>
          <t>Assistante onboarding</t>
        </is>
      </c>
      <c r="B119" s="29" t="inlineStr">
        <is>
          <t>onboarding</t>
        </is>
      </c>
      <c r="C119" s="29" t="n">
        <v>11</v>
      </c>
      <c r="D119" s="29" t="inlineStr">
        <is>
          <t>Contenus</t>
        </is>
      </c>
      <c r="E119" s="29" t="inlineStr">
        <is>
          <t>Contenus pédagogiques mis à disposition des classes.</t>
        </is>
      </c>
      <c r="F119" s="35" t="inlineStr">
        <is>
          <t>Opérationnel</t>
        </is>
      </c>
      <c r="G119" s="27" t="inlineStr"/>
      <c r="H119" s="27" t="inlineStr"/>
      <c r="I119" s="27" t="inlineStr"/>
    </row>
    <row r="120">
      <c r="A120" s="25" t="inlineStr">
        <is>
          <t>Assistante onboarding</t>
        </is>
      </c>
      <c r="B120" s="26" t="inlineStr">
        <is>
          <t>onboarding</t>
        </is>
      </c>
      <c r="C120" s="26" t="n">
        <v>12</v>
      </c>
      <c r="D120" s="26" t="inlineStr">
        <is>
          <t>Archives</t>
        </is>
      </c>
      <c r="E120" s="26" t="inlineStr">
        <is>
          <t>Apprenants sortis et classes clôturées.</t>
        </is>
      </c>
      <c r="F120" s="36" t="inlineStr">
        <is>
          <t>Opérationnel</t>
        </is>
      </c>
      <c r="G120" s="27" t="inlineStr"/>
      <c r="H120" s="27" t="inlineStr"/>
      <c r="I120" s="27" t="inlineStr"/>
    </row>
    <row r="121">
      <c r="A121" s="28" t="inlineStr">
        <is>
          <t>Assistante onboarding</t>
        </is>
      </c>
      <c r="B121" s="29" t="inlineStr">
        <is>
          <t>onboarding</t>
        </is>
      </c>
      <c r="C121" s="29" t="n">
        <v>13</v>
      </c>
      <c r="D121" s="29" t="inlineStr">
        <is>
          <t>Messages</t>
        </is>
      </c>
      <c r="E121" s="29" t="inlineStr">
        <is>
          <t>Messagerie interne et chats de classe.</t>
        </is>
      </c>
      <c r="F121" s="35" t="inlineStr">
        <is>
          <t>Opérationnel</t>
        </is>
      </c>
      <c r="G121" s="27" t="inlineStr"/>
      <c r="H121" s="27" t="inlineStr"/>
      <c r="I121" s="27" t="inlineStr"/>
    </row>
    <row r="122">
      <c r="A122" s="25" t="inlineStr">
        <is>
          <t>Assistante onboarding</t>
        </is>
      </c>
      <c r="B122" s="26" t="inlineStr">
        <is>
          <t>onboarding</t>
        </is>
      </c>
      <c r="C122" s="26" t="n">
        <v>14</v>
      </c>
      <c r="D122" s="26" t="inlineStr">
        <is>
          <t>Notifications</t>
        </is>
      </c>
      <c r="E122" s="26" t="inlineStr">
        <is>
          <t>Centre de notifications.</t>
        </is>
      </c>
      <c r="F122" s="36" t="inlineStr">
        <is>
          <t>Opérationnel</t>
        </is>
      </c>
      <c r="G122" s="27" t="inlineStr"/>
      <c r="H122" s="27" t="inlineStr"/>
      <c r="I122" s="27" t="inlineStr"/>
    </row>
    <row r="123">
      <c r="A123" s="28" t="inlineStr">
        <is>
          <t>Agent placement test</t>
        </is>
      </c>
      <c r="B123" s="29" t="inlineStr">
        <is>
          <t>placement_test</t>
        </is>
      </c>
      <c r="C123" s="29" t="n">
        <v>1</v>
      </c>
      <c r="D123" s="29" t="inlineStr">
        <is>
          <t>Mes tâches</t>
        </is>
      </c>
      <c r="E123" s="29" t="inlineStr">
        <is>
          <t>Agrégation : tests à corriger, demandes de transfert à traiter.</t>
        </is>
      </c>
      <c r="F123" s="35" t="inlineStr">
        <is>
          <t>Opérationnel</t>
        </is>
      </c>
      <c r="G123" s="27" t="inlineStr"/>
      <c r="H123" s="27" t="inlineStr"/>
      <c r="I123" s="27" t="inlineStr"/>
    </row>
    <row r="124">
      <c r="A124" s="25" t="inlineStr">
        <is>
          <t>Agent placement test</t>
        </is>
      </c>
      <c r="B124" s="26" t="inlineStr">
        <is>
          <t>placement_test</t>
        </is>
      </c>
      <c r="C124" s="26" t="n">
        <v>2</v>
      </c>
      <c r="D124" s="26" t="inlineStr">
        <is>
          <t>Vue d'ensemble</t>
        </is>
      </c>
      <c r="E124" s="26" t="inlineStr">
        <is>
          <t>Synthèse de l'activité de placement.</t>
        </is>
      </c>
      <c r="F124" s="36" t="inlineStr">
        <is>
          <t>Opérationnel</t>
        </is>
      </c>
      <c r="G124" s="27" t="inlineStr"/>
      <c r="H124" s="27" t="inlineStr"/>
      <c r="I124" s="27" t="inlineStr"/>
    </row>
    <row r="125">
      <c r="A125" s="28" t="inlineStr">
        <is>
          <t>Agent placement test</t>
        </is>
      </c>
      <c r="B125" s="29" t="inlineStr">
        <is>
          <t>placement_test</t>
        </is>
      </c>
      <c r="C125" s="29" t="n">
        <v>3</v>
      </c>
      <c r="D125" s="29" t="inlineStr">
        <is>
          <t>À corriger</t>
        </is>
      </c>
      <c r="E125" s="29" t="inlineStr">
        <is>
          <t>File des tests mixtes à corriger (oral et écrit).</t>
        </is>
      </c>
      <c r="F125" s="35" t="inlineStr">
        <is>
          <t>Opérationnel</t>
        </is>
      </c>
      <c r="G125" s="27" t="inlineStr"/>
      <c r="H125" s="27" t="inlineStr"/>
      <c r="I125" s="27" t="inlineStr"/>
    </row>
    <row r="126">
      <c r="A126" s="25" t="inlineStr">
        <is>
          <t>Agent placement test</t>
        </is>
      </c>
      <c r="B126" s="26" t="inlineStr">
        <is>
          <t>placement_test</t>
        </is>
      </c>
      <c r="C126" s="26" t="n">
        <v>4</v>
      </c>
      <c r="D126" s="26" t="inlineStr">
        <is>
          <t>Demandes de transfert</t>
        </is>
      </c>
      <c r="E126" s="26" t="inlineStr">
        <is>
          <t>Demandes émises par les coachs : fait passer le test, rend le niveau, débloque la réaffectation.</t>
        </is>
      </c>
      <c r="F126" s="36" t="inlineStr">
        <is>
          <t>Opérationnel</t>
        </is>
      </c>
      <c r="G126" s="27" t="inlineStr"/>
      <c r="H126" s="27" t="inlineStr"/>
      <c r="I126" s="27" t="inlineStr"/>
    </row>
    <row r="127">
      <c r="A127" s="28" t="inlineStr">
        <is>
          <t>Agent placement test</t>
        </is>
      </c>
      <c r="B127" s="29" t="inlineStr">
        <is>
          <t>placement_test</t>
        </is>
      </c>
      <c r="C127" s="29" t="n">
        <v>5</v>
      </c>
      <c r="D127" s="29" t="inlineStr">
        <is>
          <t>Rapports</t>
        </is>
      </c>
      <c r="E127" s="29" t="inlineStr">
        <is>
          <t>Rapports d'activité de placement.</t>
        </is>
      </c>
      <c r="F127" s="35" t="inlineStr">
        <is>
          <t>Opérationnel</t>
        </is>
      </c>
      <c r="G127" s="27" t="inlineStr"/>
      <c r="H127" s="27" t="inlineStr"/>
      <c r="I127" s="27" t="inlineStr"/>
    </row>
    <row r="128">
      <c r="A128" s="25" t="inlineStr">
        <is>
          <t>Agent placement test</t>
        </is>
      </c>
      <c r="B128" s="26" t="inlineStr">
        <is>
          <t>placement_test</t>
        </is>
      </c>
      <c r="C128" s="26" t="n">
        <v>6</v>
      </c>
      <c r="D128" s="26" t="inlineStr">
        <is>
          <t>Test de niveau</t>
        </is>
      </c>
      <c r="E128" s="26" t="inlineStr">
        <is>
          <t>Administration du test : lien pré-rempli à envoyer, ou saisie du niveau évalué en présentiel.</t>
        </is>
      </c>
      <c r="F128" s="36" t="inlineStr">
        <is>
          <t>Opérationnel</t>
        </is>
      </c>
      <c r="G128" s="27" t="inlineStr"/>
      <c r="H128" s="27" t="inlineStr"/>
      <c r="I128" s="27" t="inlineStr"/>
    </row>
    <row r="129">
      <c r="A129" s="28" t="inlineStr">
        <is>
          <t>Agent placement test</t>
        </is>
      </c>
      <c r="B129" s="29" t="inlineStr">
        <is>
          <t>placement_test</t>
        </is>
      </c>
      <c r="C129" s="29" t="n">
        <v>7</v>
      </c>
      <c r="D129" s="29" t="inlineStr">
        <is>
          <t>Résultats candidats</t>
        </is>
      </c>
      <c r="E129" s="29" t="inlineStr">
        <is>
          <t>Résultats des candidats, historique des passages.</t>
        </is>
      </c>
      <c r="F129" s="35" t="inlineStr">
        <is>
          <t>Opérationnel</t>
        </is>
      </c>
      <c r="G129" s="27" t="inlineStr"/>
      <c r="H129" s="27" t="inlineStr"/>
      <c r="I129" s="27" t="inlineStr"/>
    </row>
    <row r="130">
      <c r="A130" s="25" t="inlineStr">
        <is>
          <t>Agent placement test</t>
        </is>
      </c>
      <c r="B130" s="26" t="inlineStr">
        <is>
          <t>placement_test</t>
        </is>
      </c>
      <c r="C130" s="26" t="n">
        <v>8</v>
      </c>
      <c r="D130" s="26" t="inlineStr">
        <is>
          <t>Notifications</t>
        </is>
      </c>
      <c r="E130" s="26" t="inlineStr">
        <is>
          <t>Centre de notifications.</t>
        </is>
      </c>
      <c r="F130" s="36" t="inlineStr">
        <is>
          <t>Opérationnel</t>
        </is>
      </c>
      <c r="G130" s="27" t="inlineStr"/>
      <c r="H130" s="27" t="inlineStr"/>
      <c r="I130" s="27" t="inlineStr"/>
    </row>
    <row r="131">
      <c r="A131" s="28" t="inlineStr">
        <is>
          <t>Gestionnaire</t>
        </is>
      </c>
      <c r="B131" s="29" t="inlineStr">
        <is>
          <t>gestionnaire</t>
        </is>
      </c>
      <c r="C131" s="29" t="n">
        <v>1</v>
      </c>
      <c r="D131" s="29" t="inlineStr">
        <is>
          <t>Mes tâches</t>
        </is>
      </c>
      <c r="E131" s="29" t="inlineStr">
        <is>
          <t>Agrégation des points à traiter.</t>
        </is>
      </c>
      <c r="F131" s="35" t="inlineStr">
        <is>
          <t>Opérationnel</t>
        </is>
      </c>
      <c r="G131" s="27" t="inlineStr"/>
      <c r="H131" s="27" t="inlineStr"/>
      <c r="I131" s="27" t="inlineStr"/>
    </row>
    <row r="132">
      <c r="A132" s="25" t="inlineStr">
        <is>
          <t>Gestionnaire</t>
        </is>
      </c>
      <c r="B132" s="26" t="inlineStr">
        <is>
          <t>gestionnaire</t>
        </is>
      </c>
      <c r="C132" s="26" t="n">
        <v>2</v>
      </c>
      <c r="D132" s="26" t="inlineStr">
        <is>
          <t>Tableau de bord</t>
        </is>
      </c>
      <c r="E132" s="26" t="inlineStr">
        <is>
          <t>Synthèse de l'activité de gestion.</t>
        </is>
      </c>
      <c r="F132" s="36" t="inlineStr">
        <is>
          <t>Opérationnel</t>
        </is>
      </c>
      <c r="G132" s="27" t="inlineStr"/>
      <c r="H132" s="27" t="inlineStr"/>
      <c r="I132" s="27" t="inlineStr"/>
    </row>
    <row r="133">
      <c r="A133" s="28" t="inlineStr">
        <is>
          <t>Gestionnaire</t>
        </is>
      </c>
      <c r="B133" s="29" t="inlineStr">
        <is>
          <t>gestionnaire</t>
        </is>
      </c>
      <c r="C133" s="29" t="n">
        <v>3</v>
      </c>
      <c r="D133" s="29" t="inlineStr">
        <is>
          <t>Inscriptions</t>
        </is>
      </c>
      <c r="E133" s="29" t="inlineStr">
        <is>
          <t>Traitement administratif des inscriptions.</t>
        </is>
      </c>
      <c r="F133" s="35" t="inlineStr">
        <is>
          <t>Opérationnel</t>
        </is>
      </c>
      <c r="G133" s="27" t="inlineStr"/>
      <c r="H133" s="27" t="inlineStr"/>
      <c r="I133" s="27" t="inlineStr"/>
    </row>
    <row r="134">
      <c r="A134" s="25" t="inlineStr">
        <is>
          <t>Gestionnaire</t>
        </is>
      </c>
      <c r="B134" s="26" t="inlineStr">
        <is>
          <t>gestionnaire</t>
        </is>
      </c>
      <c r="C134" s="26" t="n">
        <v>4</v>
      </c>
      <c r="D134" s="26" t="inlineStr">
        <is>
          <t>Dossiers</t>
        </is>
      </c>
      <c r="E134" s="26" t="inlineStr">
        <is>
          <t>Dossiers administratifs des apprenants.</t>
        </is>
      </c>
      <c r="F134" s="36" t="inlineStr">
        <is>
          <t>Opérationnel</t>
        </is>
      </c>
      <c r="G134" s="27" t="inlineStr"/>
      <c r="H134" s="27" t="inlineStr"/>
      <c r="I134" s="27" t="inlineStr"/>
    </row>
    <row r="135">
      <c r="A135" s="28" t="inlineStr">
        <is>
          <t>Gestionnaire</t>
        </is>
      </c>
      <c r="B135" s="29" t="inlineStr">
        <is>
          <t>gestionnaire</t>
        </is>
      </c>
      <c r="C135" s="29" t="n">
        <v>5</v>
      </c>
      <c r="D135" s="29" t="inlineStr">
        <is>
          <t>Paiements</t>
        </is>
      </c>
      <c r="E135" s="29" t="inlineStr">
        <is>
          <t>Suivi des encaissements.</t>
        </is>
      </c>
      <c r="F135" s="35" t="inlineStr">
        <is>
          <t>Opérationnel</t>
        </is>
      </c>
      <c r="G135" s="27" t="inlineStr"/>
      <c r="H135" s="27" t="inlineStr"/>
      <c r="I135" s="27" t="inlineStr"/>
    </row>
    <row r="136">
      <c r="A136" s="25" t="inlineStr">
        <is>
          <t>Gestionnaire</t>
        </is>
      </c>
      <c r="B136" s="26" t="inlineStr">
        <is>
          <t>gestionnaire</t>
        </is>
      </c>
      <c r="C136" s="26" t="n">
        <v>6</v>
      </c>
      <c r="D136" s="26" t="inlineStr">
        <is>
          <t>Requêtes</t>
        </is>
      </c>
      <c r="E136" s="26" t="inlineStr">
        <is>
          <t>Requêtes internes adressées à la gestion.</t>
        </is>
      </c>
      <c r="F136" s="36" t="inlineStr">
        <is>
          <t>Opérationnel</t>
        </is>
      </c>
      <c r="G136" s="27" t="inlineStr"/>
      <c r="H136" s="27" t="inlineStr"/>
      <c r="I136" s="27" t="inlineStr"/>
    </row>
    <row r="137">
      <c r="A137" s="28" t="inlineStr">
        <is>
          <t>Gestionnaire</t>
        </is>
      </c>
      <c r="B137" s="29" t="inlineStr">
        <is>
          <t>gestionnaire</t>
        </is>
      </c>
      <c r="C137" s="29" t="n">
        <v>7</v>
      </c>
      <c r="D137" s="29" t="inlineStr">
        <is>
          <t>Exports &amp; envois</t>
        </is>
      </c>
      <c r="E137" s="29" t="inlineStr">
        <is>
          <t>Exports de données et envois groupés.</t>
        </is>
      </c>
      <c r="F137" s="35" t="inlineStr">
        <is>
          <t>Opérationnel</t>
        </is>
      </c>
      <c r="G137" s="27" t="inlineStr"/>
      <c r="H137" s="27" t="inlineStr"/>
      <c r="I137" s="27" t="inlineStr"/>
    </row>
    <row r="138">
      <c r="A138" s="25" t="inlineStr">
        <is>
          <t>Gestionnaire</t>
        </is>
      </c>
      <c r="B138" s="26" t="inlineStr">
        <is>
          <t>gestionnaire</t>
        </is>
      </c>
      <c r="C138" s="26" t="n">
        <v>8</v>
      </c>
      <c r="D138" s="26" t="inlineStr">
        <is>
          <t>Notifications</t>
        </is>
      </c>
      <c r="E138" s="26" t="inlineStr">
        <is>
          <t>Centre de notifications.</t>
        </is>
      </c>
      <c r="F138" s="36" t="inlineStr">
        <is>
          <t>Opérationnel</t>
        </is>
      </c>
      <c r="G138" s="27" t="inlineStr"/>
      <c r="H138" s="27" t="inlineStr"/>
      <c r="I138" s="27" t="inlineStr"/>
    </row>
    <row r="139">
      <c r="A139" s="28" t="inlineStr">
        <is>
          <t>Comptable</t>
        </is>
      </c>
      <c r="B139" s="29" t="inlineStr">
        <is>
          <t>comptable</t>
        </is>
      </c>
      <c r="C139" s="29" t="n">
        <v>1</v>
      </c>
      <c r="D139" s="29" t="inlineStr">
        <is>
          <t>Mes tâches</t>
        </is>
      </c>
      <c r="E139" s="29" t="inlineStr">
        <is>
          <t>Agrégation des points à traiter.</t>
        </is>
      </c>
      <c r="F139" s="35" t="inlineStr">
        <is>
          <t>Opérationnel</t>
        </is>
      </c>
      <c r="G139" s="27" t="inlineStr"/>
      <c r="H139" s="27" t="inlineStr"/>
      <c r="I139" s="27" t="inlineStr"/>
    </row>
    <row r="140">
      <c r="A140" s="25" t="inlineStr">
        <is>
          <t>Comptable</t>
        </is>
      </c>
      <c r="B140" s="26" t="inlineStr">
        <is>
          <t>comptable</t>
        </is>
      </c>
      <c r="C140" s="26" t="n">
        <v>2</v>
      </c>
      <c r="D140" s="26" t="inlineStr">
        <is>
          <t>Tableau de bord</t>
        </is>
      </c>
      <c r="E140" s="26" t="inlineStr">
        <is>
          <t>Synthèse comptable et financière.</t>
        </is>
      </c>
      <c r="F140" s="36" t="inlineStr">
        <is>
          <t>Opérationnel</t>
        </is>
      </c>
      <c r="G140" s="27" t="inlineStr"/>
      <c r="H140" s="27" t="inlineStr"/>
      <c r="I140" s="27" t="inlineStr"/>
    </row>
    <row r="141">
      <c r="A141" s="28" t="inlineStr">
        <is>
          <t>Comptable</t>
        </is>
      </c>
      <c r="B141" s="29" t="inlineStr">
        <is>
          <t>comptable</t>
        </is>
      </c>
      <c r="C141" s="29" t="n">
        <v>3</v>
      </c>
      <c r="D141" s="29" t="inlineStr">
        <is>
          <t>Facturation</t>
        </is>
      </c>
      <c r="E141" s="29" t="inlineStr">
        <is>
          <t>Émission et suivi des factures.</t>
        </is>
      </c>
      <c r="F141" s="35" t="inlineStr">
        <is>
          <t>Opérationnel</t>
        </is>
      </c>
      <c r="G141" s="27" t="inlineStr"/>
      <c r="H141" s="27" t="inlineStr"/>
      <c r="I141" s="27" t="inlineStr"/>
    </row>
    <row r="142">
      <c r="A142" s="25" t="inlineStr">
        <is>
          <t>Comptable</t>
        </is>
      </c>
      <c r="B142" s="26" t="inlineStr">
        <is>
          <t>comptable</t>
        </is>
      </c>
      <c r="C142" s="26" t="n">
        <v>4</v>
      </c>
      <c r="D142" s="26" t="inlineStr">
        <is>
          <t>Paiements</t>
        </is>
      </c>
      <c r="E142" s="26" t="inlineStr">
        <is>
          <t>Encaissements et rapprochement.</t>
        </is>
      </c>
      <c r="F142" s="36" t="inlineStr">
        <is>
          <t>Opérationnel</t>
        </is>
      </c>
      <c r="G142" s="27" t="inlineStr"/>
      <c r="H142" s="27" t="inlineStr"/>
      <c r="I142" s="27" t="inlineStr"/>
    </row>
    <row r="143">
      <c r="A143" s="28" t="inlineStr">
        <is>
          <t>Comptable</t>
        </is>
      </c>
      <c r="B143" s="29" t="inlineStr">
        <is>
          <t>comptable</t>
        </is>
      </c>
      <c r="C143" s="29" t="n">
        <v>5</v>
      </c>
      <c r="D143" s="29" t="inlineStr">
        <is>
          <t>Trésorerie</t>
        </is>
      </c>
      <c r="E143" s="29" t="inlineStr">
        <is>
          <t>Position et mouvements de trésorerie.</t>
        </is>
      </c>
      <c r="F143" s="35" t="inlineStr">
        <is>
          <t>Opérationnel</t>
        </is>
      </c>
      <c r="G143" s="27" t="inlineStr"/>
      <c r="H143" s="27" t="inlineStr"/>
      <c r="I143" s="27" t="inlineStr"/>
    </row>
    <row r="144">
      <c r="A144" s="25" t="inlineStr">
        <is>
          <t>Comptable</t>
        </is>
      </c>
      <c r="B144" s="26" t="inlineStr">
        <is>
          <t>comptable</t>
        </is>
      </c>
      <c r="C144" s="26" t="n">
        <v>6</v>
      </c>
      <c r="D144" s="26" t="inlineStr">
        <is>
          <t>Fournisseurs &amp; Achats</t>
        </is>
      </c>
      <c r="E144" s="26" t="inlineStr">
        <is>
          <t>Fournisseurs, commandes et factures d'achat.</t>
        </is>
      </c>
      <c r="F144" s="36" t="inlineStr">
        <is>
          <t>Opérationnel</t>
        </is>
      </c>
      <c r="G144" s="27" t="inlineStr"/>
      <c r="H144" s="27" t="inlineStr"/>
      <c r="I144" s="27" t="inlineStr"/>
    </row>
    <row r="145">
      <c r="A145" s="28" t="inlineStr">
        <is>
          <t>Comptable</t>
        </is>
      </c>
      <c r="B145" s="29" t="inlineStr">
        <is>
          <t>comptable</t>
        </is>
      </c>
      <c r="C145" s="29" t="n">
        <v>7</v>
      </c>
      <c r="D145" s="29" t="inlineStr">
        <is>
          <t>RRD · BC · BACN</t>
        </is>
      </c>
      <c r="E145" s="29" t="inlineStr">
        <is>
          <t>Pièces internes : réquisitions, bons de commande, bons d'achat comptabilisés.</t>
        </is>
      </c>
      <c r="F145" s="35" t="inlineStr">
        <is>
          <t>Opérationnel</t>
        </is>
      </c>
      <c r="G145" s="27" t="inlineStr"/>
      <c r="H145" s="27" t="inlineStr"/>
      <c r="I145" s="27" t="inlineStr"/>
    </row>
    <row r="146">
      <c r="A146" s="25" t="inlineStr">
        <is>
          <t>Comptable</t>
        </is>
      </c>
      <c r="B146" s="26" t="inlineStr">
        <is>
          <t>comptable</t>
        </is>
      </c>
      <c r="C146" s="26" t="n">
        <v>8</v>
      </c>
      <c r="D146" s="26" t="inlineStr">
        <is>
          <t>Comptabilité générale</t>
        </is>
      </c>
      <c r="E146" s="26" t="inlineStr">
        <is>
          <t>Écritures et journaux.</t>
        </is>
      </c>
      <c r="F146" s="36" t="inlineStr">
        <is>
          <t>Opérationnel</t>
        </is>
      </c>
      <c r="G146" s="27" t="inlineStr"/>
      <c r="H146" s="27" t="inlineStr"/>
      <c r="I146" s="27" t="inlineStr"/>
    </row>
    <row r="147">
      <c r="A147" s="28" t="inlineStr">
        <is>
          <t>Comptable</t>
        </is>
      </c>
      <c r="B147" s="29" t="inlineStr">
        <is>
          <t>comptable</t>
        </is>
      </c>
      <c r="C147" s="29" t="n">
        <v>9</v>
      </c>
      <c r="D147" s="29" t="inlineStr">
        <is>
          <t>TVA</t>
        </is>
      </c>
      <c r="E147" s="29" t="inlineStr">
        <is>
          <t>Déclaration et suivi de la TVA.</t>
        </is>
      </c>
      <c r="F147" s="35" t="inlineStr">
        <is>
          <t>Opérationnel</t>
        </is>
      </c>
      <c r="G147" s="27" t="inlineStr"/>
      <c r="H147" s="27" t="inlineStr"/>
      <c r="I147" s="27" t="inlineStr"/>
    </row>
    <row r="148">
      <c r="A148" s="25" t="inlineStr">
        <is>
          <t>Comptable</t>
        </is>
      </c>
      <c r="B148" s="26" t="inlineStr">
        <is>
          <t>comptable</t>
        </is>
      </c>
      <c r="C148" s="26" t="n">
        <v>10</v>
      </c>
      <c r="D148" s="26" t="inlineStr">
        <is>
          <t>Immobilisations</t>
        </is>
      </c>
      <c r="E148" s="26" t="inlineStr">
        <is>
          <t>Registre des immobilisations et amortissements.</t>
        </is>
      </c>
      <c r="F148" s="36" t="inlineStr">
        <is>
          <t>Opérationnel</t>
        </is>
      </c>
      <c r="G148" s="27" t="inlineStr"/>
      <c r="H148" s="27" t="inlineStr"/>
      <c r="I148" s="27" t="inlineStr"/>
    </row>
    <row r="149">
      <c r="A149" s="28" t="inlineStr">
        <is>
          <t>Comptable</t>
        </is>
      </c>
      <c r="B149" s="29" t="inlineStr">
        <is>
          <t>comptable</t>
        </is>
      </c>
      <c r="C149" s="29" t="n">
        <v>11</v>
      </c>
      <c r="D149" s="29" t="inlineStr">
        <is>
          <t>Budgets</t>
        </is>
      </c>
      <c r="E149" s="29" t="inlineStr">
        <is>
          <t>Budgets et suivi des écarts.</t>
        </is>
      </c>
      <c r="F149" s="35" t="inlineStr">
        <is>
          <t>Opérationnel</t>
        </is>
      </c>
      <c r="G149" s="27" t="inlineStr"/>
      <c r="H149" s="27" t="inlineStr"/>
      <c r="I149" s="27" t="inlineStr"/>
    </row>
    <row r="150">
      <c r="A150" s="25" t="inlineStr">
        <is>
          <t>Comptable</t>
        </is>
      </c>
      <c r="B150" s="26" t="inlineStr">
        <is>
          <t>comptable</t>
        </is>
      </c>
      <c r="C150" s="26" t="n">
        <v>12</v>
      </c>
      <c r="D150" s="26" t="inlineStr">
        <is>
          <t>Analytique</t>
        </is>
      </c>
      <c r="E150" s="26" t="inlineStr">
        <is>
          <t>Répartition analytique par centre et activité.</t>
        </is>
      </c>
      <c r="F150" s="36" t="inlineStr">
        <is>
          <t>Opérationnel</t>
        </is>
      </c>
      <c r="G150" s="27" t="inlineStr"/>
      <c r="H150" s="27" t="inlineStr"/>
      <c r="I150" s="27" t="inlineStr"/>
    </row>
    <row r="151">
      <c r="A151" s="28" t="inlineStr">
        <is>
          <t>Comptable</t>
        </is>
      </c>
      <c r="B151" s="29" t="inlineStr">
        <is>
          <t>comptable</t>
        </is>
      </c>
      <c r="C151" s="29" t="n">
        <v>13</v>
      </c>
      <c r="D151" s="29" t="inlineStr">
        <is>
          <t>Honoraires coaches</t>
        </is>
      </c>
      <c r="E151" s="29" t="inlineStr">
        <is>
          <t>Honoraires des coachs à payer, issus des séances réalisées.</t>
        </is>
      </c>
      <c r="F151" s="35" t="inlineStr">
        <is>
          <t>Opérationnel</t>
        </is>
      </c>
      <c r="G151" s="27" t="inlineStr"/>
      <c r="H151" s="27" t="inlineStr"/>
      <c r="I151" s="27" t="inlineStr"/>
    </row>
    <row r="152">
      <c r="A152" s="25" t="inlineStr">
        <is>
          <t>Comptable</t>
        </is>
      </c>
      <c r="B152" s="26" t="inlineStr">
        <is>
          <t>comptable</t>
        </is>
      </c>
      <c r="C152" s="26" t="n">
        <v>14</v>
      </c>
      <c r="D152" s="26" t="inlineStr">
        <is>
          <t>Exports comptables</t>
        </is>
      </c>
      <c r="E152" s="26" t="inlineStr">
        <is>
          <t>Exports vers l'outil comptable.</t>
        </is>
      </c>
      <c r="F152" s="36" t="inlineStr">
        <is>
          <t>Opérationnel</t>
        </is>
      </c>
      <c r="G152" s="27" t="inlineStr"/>
      <c r="H152" s="27" t="inlineStr"/>
      <c r="I152" s="27" t="inlineStr"/>
    </row>
    <row r="153">
      <c r="A153" s="28" t="inlineStr">
        <is>
          <t>Comptable</t>
        </is>
      </c>
      <c r="B153" s="29" t="inlineStr">
        <is>
          <t>comptable</t>
        </is>
      </c>
      <c r="C153" s="29" t="n">
        <v>15</v>
      </c>
      <c r="D153" s="29" t="inlineStr">
        <is>
          <t>Messages</t>
        </is>
      </c>
      <c r="E153" s="29" t="inlineStr">
        <is>
          <t>Messagerie interne.</t>
        </is>
      </c>
      <c r="F153" s="35" t="inlineStr">
        <is>
          <t>Opérationnel</t>
        </is>
      </c>
      <c r="G153" s="27" t="inlineStr"/>
      <c r="H153" s="27" t="inlineStr"/>
      <c r="I153" s="27" t="inlineStr"/>
    </row>
    <row r="154">
      <c r="A154" s="25" t="inlineStr">
        <is>
          <t>Comptable</t>
        </is>
      </c>
      <c r="B154" s="26" t="inlineStr">
        <is>
          <t>comptable</t>
        </is>
      </c>
      <c r="C154" s="26" t="n">
        <v>16</v>
      </c>
      <c r="D154" s="26" t="inlineStr">
        <is>
          <t>Notifications</t>
        </is>
      </c>
      <c r="E154" s="26" t="inlineStr">
        <is>
          <t>Centre de notifications.</t>
        </is>
      </c>
      <c r="F154" s="36" t="inlineStr">
        <is>
          <t>Opérationnel</t>
        </is>
      </c>
      <c r="G154" s="27" t="inlineStr"/>
      <c r="H154" s="27" t="inlineStr"/>
      <c r="I154" s="27" t="inlineStr"/>
    </row>
    <row r="155">
      <c r="A155" s="28" t="inlineStr">
        <is>
          <t>RH &amp; Paie</t>
        </is>
      </c>
      <c r="B155" s="29" t="inlineStr">
        <is>
          <t>rh</t>
        </is>
      </c>
      <c r="C155" s="29" t="n">
        <v>1</v>
      </c>
      <c r="D155" s="29" t="inlineStr">
        <is>
          <t>Mes tâches</t>
        </is>
      </c>
      <c r="E155" s="29" t="inlineStr">
        <is>
          <t>Agrégation des points à traiter.</t>
        </is>
      </c>
      <c r="F155" s="35" t="inlineStr">
        <is>
          <t>Opérationnel</t>
        </is>
      </c>
      <c r="G155" s="27" t="inlineStr"/>
      <c r="H155" s="27" t="inlineStr"/>
      <c r="I155" s="27" t="inlineStr"/>
    </row>
    <row r="156">
      <c r="A156" s="25" t="inlineStr">
        <is>
          <t>RH &amp; Paie</t>
        </is>
      </c>
      <c r="B156" s="26" t="inlineStr">
        <is>
          <t>rh</t>
        </is>
      </c>
      <c r="C156" s="26" t="n">
        <v>2</v>
      </c>
      <c r="D156" s="26" t="inlineStr">
        <is>
          <t>Tableau de bord</t>
        </is>
      </c>
      <c r="E156" s="26" t="inlineStr">
        <is>
          <t>Synthèse RH et masse salariale.</t>
        </is>
      </c>
      <c r="F156" s="36" t="inlineStr">
        <is>
          <t>Opérationnel</t>
        </is>
      </c>
      <c r="G156" s="27" t="inlineStr"/>
      <c r="H156" s="27" t="inlineStr"/>
      <c r="I156" s="27" t="inlineStr"/>
    </row>
    <row r="157">
      <c r="A157" s="28" t="inlineStr">
        <is>
          <t>RH &amp; Paie</t>
        </is>
      </c>
      <c r="B157" s="29" t="inlineStr">
        <is>
          <t>rh</t>
        </is>
      </c>
      <c r="C157" s="29" t="n">
        <v>3</v>
      </c>
      <c r="D157" s="29" t="inlineStr">
        <is>
          <t>Grille tarifaire</t>
        </is>
      </c>
      <c r="E157" s="29" t="inlineStr">
        <is>
          <t>Grille des honoraires par grade, canal, niveau et durée.</t>
        </is>
      </c>
      <c r="F157" s="35" t="inlineStr">
        <is>
          <t>Opérationnel</t>
        </is>
      </c>
      <c r="G157" s="27" t="inlineStr"/>
      <c r="H157" s="27" t="inlineStr"/>
      <c r="I157" s="27" t="inlineStr"/>
    </row>
    <row r="158">
      <c r="A158" s="25" t="inlineStr">
        <is>
          <t>RH &amp; Paie</t>
        </is>
      </c>
      <c r="B158" s="26" t="inlineStr">
        <is>
          <t>rh</t>
        </is>
      </c>
      <c r="C158" s="26" t="n">
        <v>4</v>
      </c>
      <c r="D158" s="26" t="inlineStr">
        <is>
          <t>Coachs</t>
        </is>
      </c>
      <c r="E158" s="26" t="inlineStr">
        <is>
          <t>Dossiers des coachs : contrats, grades, catégories.</t>
        </is>
      </c>
      <c r="F158" s="36" t="inlineStr">
        <is>
          <t>Opérationnel</t>
        </is>
      </c>
      <c r="G158" s="27" t="inlineStr"/>
      <c r="H158" s="27" t="inlineStr"/>
      <c r="I158" s="27" t="inlineStr"/>
    </row>
    <row r="159">
      <c r="A159" s="28" t="inlineStr">
        <is>
          <t>RH &amp; Paie</t>
        </is>
      </c>
      <c r="B159" s="29" t="inlineStr">
        <is>
          <t>rh</t>
        </is>
      </c>
      <c r="C159" s="29" t="n">
        <v>5</v>
      </c>
      <c r="D159" s="29" t="inlineStr">
        <is>
          <t>Bulletins de paie</t>
        </is>
      </c>
      <c r="E159" s="29" t="inlineStr">
        <is>
          <t>Récapitulatifs et bulletins de paie.</t>
        </is>
      </c>
      <c r="F159" s="35" t="inlineStr">
        <is>
          <t>Opérationnel</t>
        </is>
      </c>
      <c r="G159" s="27" t="inlineStr"/>
      <c r="H159" s="27" t="inlineStr"/>
      <c r="I159" s="27" t="inlineStr"/>
    </row>
    <row r="160">
      <c r="A160" s="25" t="inlineStr">
        <is>
          <t>RH &amp; Paie</t>
        </is>
      </c>
      <c r="B160" s="26" t="inlineStr">
        <is>
          <t>rh</t>
        </is>
      </c>
      <c r="C160" s="26" t="n">
        <v>6</v>
      </c>
      <c r="D160" s="26" t="inlineStr">
        <is>
          <t>Messages</t>
        </is>
      </c>
      <c r="E160" s="26" t="inlineStr">
        <is>
          <t>Messagerie interne.</t>
        </is>
      </c>
      <c r="F160" s="36" t="inlineStr">
        <is>
          <t>Opérationnel</t>
        </is>
      </c>
      <c r="G160" s="27" t="inlineStr"/>
      <c r="H160" s="27" t="inlineStr"/>
      <c r="I160" s="27" t="inlineStr"/>
    </row>
    <row r="161">
      <c r="A161" s="28" t="inlineStr">
        <is>
          <t>RH &amp; Paie</t>
        </is>
      </c>
      <c r="B161" s="29" t="inlineStr">
        <is>
          <t>rh</t>
        </is>
      </c>
      <c r="C161" s="29" t="n">
        <v>7</v>
      </c>
      <c r="D161" s="29" t="inlineStr">
        <is>
          <t>Notifications</t>
        </is>
      </c>
      <c r="E161" s="29" t="inlineStr">
        <is>
          <t>Centre de notifications.</t>
        </is>
      </c>
      <c r="F161" s="35" t="inlineStr">
        <is>
          <t>Opérationnel</t>
        </is>
      </c>
      <c r="G161" s="27" t="inlineStr"/>
      <c r="H161" s="27" t="inlineStr"/>
      <c r="I161" s="27" t="inlineStr"/>
    </row>
    <row r="162">
      <c r="A162" s="28" t="inlineStr">
        <is>
          <t>Customer Care</t>
        </is>
      </c>
      <c r="B162" s="29" t="inlineStr">
        <is>
          <t>customer_care</t>
        </is>
      </c>
      <c r="C162" s="29" t="n">
        <v>1</v>
      </c>
      <c r="D162" s="29" t="inlineStr">
        <is>
          <t>Mes tâches</t>
        </is>
      </c>
      <c r="E162" s="29" t="inlineStr">
        <is>
          <t>Agrégation des points à traiter.</t>
        </is>
      </c>
      <c r="F162" s="35" t="inlineStr">
        <is>
          <t>Opérationnel</t>
        </is>
      </c>
      <c r="G162" s="27" t="inlineStr"/>
      <c r="H162" s="27" t="inlineStr"/>
      <c r="I162" s="27" t="inlineStr"/>
    </row>
    <row r="163">
      <c r="A163" s="25" t="inlineStr">
        <is>
          <t>Customer Care</t>
        </is>
      </c>
      <c r="B163" s="26" t="inlineStr">
        <is>
          <t>customer_care</t>
        </is>
      </c>
      <c r="C163" s="26" t="n">
        <v>2</v>
      </c>
      <c r="D163" s="26" t="inlineStr">
        <is>
          <t>Tableau de bord</t>
        </is>
      </c>
      <c r="E163" s="26" t="inlineStr">
        <is>
          <t>Synthèse des sollicitations clients.</t>
        </is>
      </c>
      <c r="F163" s="36" t="inlineStr">
        <is>
          <t>Opérationnel</t>
        </is>
      </c>
      <c r="G163" s="27" t="inlineStr"/>
      <c r="H163" s="27" t="inlineStr"/>
      <c r="I163" s="27" t="inlineStr"/>
    </row>
    <row r="164">
      <c r="A164" s="28" t="inlineStr">
        <is>
          <t>Customer Care</t>
        </is>
      </c>
      <c r="B164" s="29" t="inlineStr">
        <is>
          <t>customer_care</t>
        </is>
      </c>
      <c r="C164" s="29" t="n">
        <v>3</v>
      </c>
      <c r="D164" s="29" t="inlineStr">
        <is>
          <t>Plaintes</t>
        </is>
      </c>
      <c r="E164" s="29" t="inlineStr">
        <is>
          <t>Réception, qualification et traitement des plaintes.</t>
        </is>
      </c>
      <c r="F164" s="35" t="inlineStr">
        <is>
          <t>Opérationnel</t>
        </is>
      </c>
      <c r="G164" s="27" t="inlineStr"/>
      <c r="H164" s="27" t="inlineStr"/>
      <c r="I164" s="27" t="inlineStr"/>
    </row>
    <row r="165">
      <c r="A165" s="25" t="inlineStr">
        <is>
          <t>Customer Care</t>
        </is>
      </c>
      <c r="B165" s="26" t="inlineStr">
        <is>
          <t>customer_care</t>
        </is>
      </c>
      <c r="C165" s="26" t="n">
        <v>4</v>
      </c>
      <c r="D165" s="26" t="inlineStr">
        <is>
          <t>Messages</t>
        </is>
      </c>
      <c r="E165" s="26" t="inlineStr">
        <is>
          <t>Messagerie interne.</t>
        </is>
      </c>
      <c r="F165" s="36" t="inlineStr">
        <is>
          <t>Opérationnel</t>
        </is>
      </c>
      <c r="G165" s="27" t="inlineStr"/>
      <c r="H165" s="27" t="inlineStr"/>
      <c r="I165" s="27" t="inlineStr"/>
    </row>
    <row r="166">
      <c r="A166" s="28" t="inlineStr">
        <is>
          <t>Customer Care</t>
        </is>
      </c>
      <c r="B166" s="29" t="inlineStr">
        <is>
          <t>customer_care</t>
        </is>
      </c>
      <c r="C166" s="29" t="n">
        <v>5</v>
      </c>
      <c r="D166" s="29" t="inlineStr">
        <is>
          <t>Notifications</t>
        </is>
      </c>
      <c r="E166" s="29" t="inlineStr">
        <is>
          <t>Centre de notifications.</t>
        </is>
      </c>
      <c r="F166" s="35" t="inlineStr">
        <is>
          <t>Opérationnel</t>
        </is>
      </c>
      <c r="G166" s="27" t="inlineStr"/>
      <c r="H166" s="27" t="inlineStr"/>
      <c r="I166" s="27" t="inlineStr"/>
    </row>
    <row r="167">
      <c r="A167" s="28" t="inlineStr">
        <is>
          <t>Assistante SAV</t>
        </is>
      </c>
      <c r="B167" s="29" t="inlineStr">
        <is>
          <t>assistant_sav</t>
        </is>
      </c>
      <c r="C167" s="29" t="n">
        <v>1</v>
      </c>
      <c r="D167" s="29" t="inlineStr">
        <is>
          <t>Mes tâches</t>
        </is>
      </c>
      <c r="E167" s="29" t="inlineStr">
        <is>
          <t>Agrégation des points à traiter.</t>
        </is>
      </c>
      <c r="F167" s="35" t="inlineStr">
        <is>
          <t>Opérationnel</t>
        </is>
      </c>
      <c r="G167" s="27" t="inlineStr"/>
      <c r="H167" s="27" t="inlineStr"/>
      <c r="I167" s="27" t="inlineStr"/>
    </row>
    <row r="168">
      <c r="A168" s="25" t="inlineStr">
        <is>
          <t>Assistante SAV</t>
        </is>
      </c>
      <c r="B168" s="26" t="inlineStr">
        <is>
          <t>assistant_sav</t>
        </is>
      </c>
      <c r="C168" s="26" t="n">
        <v>2</v>
      </c>
      <c r="D168" s="26" t="inlineStr">
        <is>
          <t>Tableau de bord</t>
        </is>
      </c>
      <c r="E168" s="26" t="inlineStr">
        <is>
          <t>Synthèse de l'activité SAV.</t>
        </is>
      </c>
      <c r="F168" s="36" t="inlineStr">
        <is>
          <t>Opérationnel</t>
        </is>
      </c>
      <c r="G168" s="27" t="inlineStr"/>
      <c r="H168" s="27" t="inlineStr"/>
      <c r="I168" s="27" t="inlineStr"/>
    </row>
    <row r="169">
      <c r="A169" s="28" t="inlineStr">
        <is>
          <t>Assistante SAV</t>
        </is>
      </c>
      <c r="B169" s="29" t="inlineStr">
        <is>
          <t>assistant_sav</t>
        </is>
      </c>
      <c r="C169" s="29" t="n">
        <v>3</v>
      </c>
      <c r="D169" s="29" t="inlineStr">
        <is>
          <t>Demandes SAV</t>
        </is>
      </c>
      <c r="E169" s="29" t="inlineStr">
        <is>
          <t>Réception et traitement des demandes de service après-vente.</t>
        </is>
      </c>
      <c r="F169" s="35" t="inlineStr">
        <is>
          <t>Opérationnel</t>
        </is>
      </c>
      <c r="G169" s="27" t="inlineStr"/>
      <c r="H169" s="27" t="inlineStr"/>
      <c r="I169" s="27" t="inlineStr"/>
    </row>
    <row r="170">
      <c r="A170" s="25" t="inlineStr">
        <is>
          <t>Assistante SAV</t>
        </is>
      </c>
      <c r="B170" s="26" t="inlineStr">
        <is>
          <t>assistant_sav</t>
        </is>
      </c>
      <c r="C170" s="26" t="n">
        <v>4</v>
      </c>
      <c r="D170" s="26" t="inlineStr">
        <is>
          <t>Remboursements</t>
        </is>
      </c>
      <c r="E170" s="26" t="inlineStr">
        <is>
          <t>Écran présent, sans backend dédié : à connecter.</t>
        </is>
      </c>
      <c r="F170" s="38" t="inlineStr">
        <is>
          <t>Ébauche</t>
        </is>
      </c>
      <c r="G170" s="27" t="inlineStr"/>
      <c r="H170" s="27" t="inlineStr"/>
      <c r="I170" s="27" t="inlineStr"/>
    </row>
    <row r="171">
      <c r="A171" s="28" t="inlineStr">
        <is>
          <t>Assistante SAV</t>
        </is>
      </c>
      <c r="B171" s="29" t="inlineStr">
        <is>
          <t>assistant_sav</t>
        </is>
      </c>
      <c r="C171" s="29" t="n">
        <v>5</v>
      </c>
      <c r="D171" s="29" t="inlineStr">
        <is>
          <t>Suivi satisfaction</t>
        </is>
      </c>
      <c r="E171" s="29" t="inlineStr">
        <is>
          <t>Écran présent, sans backend dédié : à connecter.</t>
        </is>
      </c>
      <c r="F171" s="39" t="inlineStr">
        <is>
          <t>Ébauche</t>
        </is>
      </c>
      <c r="G171" s="27" t="inlineStr"/>
      <c r="H171" s="27" t="inlineStr"/>
      <c r="I171" s="27" t="inlineStr"/>
    </row>
    <row r="172">
      <c r="A172" s="25" t="inlineStr">
        <is>
          <t>Assistante SAV</t>
        </is>
      </c>
      <c r="B172" s="26" t="inlineStr">
        <is>
          <t>assistant_sav</t>
        </is>
      </c>
      <c r="C172" s="26" t="n">
        <v>6</v>
      </c>
      <c r="D172" s="26" t="inlineStr">
        <is>
          <t>Messages</t>
        </is>
      </c>
      <c r="E172" s="26" t="inlineStr">
        <is>
          <t>Messagerie interne.</t>
        </is>
      </c>
      <c r="F172" s="36" t="inlineStr">
        <is>
          <t>Opérationnel</t>
        </is>
      </c>
      <c r="G172" s="27" t="inlineStr"/>
      <c r="H172" s="27" t="inlineStr"/>
      <c r="I172" s="27" t="inlineStr"/>
    </row>
    <row r="173">
      <c r="A173" s="28" t="inlineStr">
        <is>
          <t>Assistante SAV</t>
        </is>
      </c>
      <c r="B173" s="29" t="inlineStr">
        <is>
          <t>assistant_sav</t>
        </is>
      </c>
      <c r="C173" s="29" t="n">
        <v>7</v>
      </c>
      <c r="D173" s="29" t="inlineStr">
        <is>
          <t>Notifications</t>
        </is>
      </c>
      <c r="E173" s="29" t="inlineStr">
        <is>
          <t>Centre de notifications.</t>
        </is>
      </c>
      <c r="F173" s="35" t="inlineStr">
        <is>
          <t>Opérationnel</t>
        </is>
      </c>
      <c r="G173" s="27" t="inlineStr"/>
      <c r="H173" s="27" t="inlineStr"/>
      <c r="I173" s="27" t="inlineStr"/>
    </row>
    <row r="174">
      <c r="A174" s="28" t="inlineStr">
        <is>
          <t>Data Collector</t>
        </is>
      </c>
      <c r="B174" s="29" t="inlineStr">
        <is>
          <t>data_collector</t>
        </is>
      </c>
      <c r="C174" s="29" t="n">
        <v>1</v>
      </c>
      <c r="D174" s="29" t="inlineStr">
        <is>
          <t>Mes tâches</t>
        </is>
      </c>
      <c r="E174" s="29" t="inlineStr">
        <is>
          <t>Agrégation des points à traiter.</t>
        </is>
      </c>
      <c r="F174" s="35" t="inlineStr">
        <is>
          <t>Opérationnel</t>
        </is>
      </c>
      <c r="G174" s="27" t="inlineStr"/>
      <c r="H174" s="27" t="inlineStr"/>
      <c r="I174" s="27" t="inlineStr"/>
    </row>
    <row r="175">
      <c r="A175" s="25" t="inlineStr">
        <is>
          <t>Data Collector</t>
        </is>
      </c>
      <c r="B175" s="26" t="inlineStr">
        <is>
          <t>data_collector</t>
        </is>
      </c>
      <c r="C175" s="26" t="n">
        <v>2</v>
      </c>
      <c r="D175" s="26" t="inlineStr">
        <is>
          <t>Tableau de bord</t>
        </is>
      </c>
      <c r="E175" s="26" t="inlineStr">
        <is>
          <t>Synthèse de la collecte.</t>
        </is>
      </c>
      <c r="F175" s="36" t="inlineStr">
        <is>
          <t>Opérationnel</t>
        </is>
      </c>
      <c r="G175" s="27" t="inlineStr"/>
      <c r="H175" s="27" t="inlineStr"/>
      <c r="I175" s="27" t="inlineStr"/>
    </row>
    <row r="176">
      <c r="A176" s="28" t="inlineStr">
        <is>
          <t>Data Collector</t>
        </is>
      </c>
      <c r="B176" s="29" t="inlineStr">
        <is>
          <t>data_collector</t>
        </is>
      </c>
      <c r="C176" s="29" t="n">
        <v>3</v>
      </c>
      <c r="D176" s="29" t="inlineStr">
        <is>
          <t>Clients</t>
        </is>
      </c>
      <c r="E176" s="29" t="inlineStr">
        <is>
          <t>Base clients collectée.</t>
        </is>
      </c>
      <c r="F176" s="35" t="inlineStr">
        <is>
          <t>Opérationnel</t>
        </is>
      </c>
      <c r="G176" s="27" t="inlineStr"/>
      <c r="H176" s="27" t="inlineStr"/>
      <c r="I176" s="27" t="inlineStr"/>
    </row>
    <row r="177">
      <c r="A177" s="25" t="inlineStr">
        <is>
          <t>Data Collector</t>
        </is>
      </c>
      <c r="B177" s="26" t="inlineStr">
        <is>
          <t>data_collector</t>
        </is>
      </c>
      <c r="C177" s="26" t="n">
        <v>4</v>
      </c>
      <c r="D177" s="26" t="inlineStr">
        <is>
          <t>Prospects</t>
        </is>
      </c>
      <c r="E177" s="26" t="inlineStr">
        <is>
          <t>Prospects collectés, à qualifier.</t>
        </is>
      </c>
      <c r="F177" s="36" t="inlineStr">
        <is>
          <t>Opérationnel</t>
        </is>
      </c>
      <c r="G177" s="27" t="inlineStr"/>
      <c r="H177" s="27" t="inlineStr"/>
      <c r="I177" s="27" t="inlineStr"/>
    </row>
    <row r="178">
      <c r="A178" s="28" t="inlineStr">
        <is>
          <t>Data Collector</t>
        </is>
      </c>
      <c r="B178" s="29" t="inlineStr">
        <is>
          <t>data_collector</t>
        </is>
      </c>
      <c r="C178" s="29" t="n">
        <v>5</v>
      </c>
      <c r="D178" s="29" t="inlineStr">
        <is>
          <t>Import fichiers</t>
        </is>
      </c>
      <c r="E178" s="29" t="inlineStr">
        <is>
          <t>Import de fichiers de données, contrôle des lignes rejetées.</t>
        </is>
      </c>
      <c r="F178" s="35" t="inlineStr">
        <is>
          <t>Opérationnel</t>
        </is>
      </c>
      <c r="G178" s="27" t="inlineStr"/>
      <c r="H178" s="27" t="inlineStr"/>
      <c r="I178" s="27" t="inlineStr"/>
    </row>
    <row r="179">
      <c r="A179" s="25" t="inlineStr">
        <is>
          <t>Data Collector</t>
        </is>
      </c>
      <c r="B179" s="26" t="inlineStr">
        <is>
          <t>data_collector</t>
        </is>
      </c>
      <c r="C179" s="26" t="n">
        <v>6</v>
      </c>
      <c r="D179" s="26" t="inlineStr">
        <is>
          <t>Qualité des données</t>
        </is>
      </c>
      <c r="E179" s="26" t="inlineStr">
        <is>
          <t>Contrôles de cohérence, doublons, champs manquants.</t>
        </is>
      </c>
      <c r="F179" s="36" t="inlineStr">
        <is>
          <t>Opérationnel</t>
        </is>
      </c>
      <c r="G179" s="27" t="inlineStr"/>
      <c r="H179" s="27" t="inlineStr"/>
      <c r="I179" s="27" t="inlineStr"/>
    </row>
    <row r="180">
      <c r="A180" s="28" t="inlineStr">
        <is>
          <t>Data Collector</t>
        </is>
      </c>
      <c r="B180" s="29" t="inlineStr">
        <is>
          <t>data_collector</t>
        </is>
      </c>
      <c r="C180" s="29" t="n">
        <v>7</v>
      </c>
      <c r="D180" s="29" t="inlineStr">
        <is>
          <t>Historique</t>
        </is>
      </c>
      <c r="E180" s="29" t="inlineStr">
        <is>
          <t>Historique des imports et des corrections.</t>
        </is>
      </c>
      <c r="F180" s="35" t="inlineStr">
        <is>
          <t>Opérationnel</t>
        </is>
      </c>
      <c r="G180" s="27" t="inlineStr"/>
      <c r="H180" s="27" t="inlineStr"/>
      <c r="I180" s="27" t="inlineStr"/>
    </row>
    <row r="181">
      <c r="A181" s="25" t="inlineStr">
        <is>
          <t>Data Collector</t>
        </is>
      </c>
      <c r="B181" s="26" t="inlineStr">
        <is>
          <t>data_collector</t>
        </is>
      </c>
      <c r="C181" s="26" t="n">
        <v>8</v>
      </c>
      <c r="D181" s="26" t="inlineStr">
        <is>
          <t>Notifications</t>
        </is>
      </c>
      <c r="E181" s="26" t="inlineStr">
        <is>
          <t>Centre de notifications.</t>
        </is>
      </c>
      <c r="F181" s="36" t="inlineStr">
        <is>
          <t>Opérationnel</t>
        </is>
      </c>
      <c r="G181" s="27" t="inlineStr"/>
      <c r="H181" s="27" t="inlineStr"/>
      <c r="I181" s="27" t="inlineStr"/>
    </row>
    <row r="182">
      <c r="A182" s="28" t="inlineStr">
        <is>
          <t>Coach</t>
        </is>
      </c>
      <c r="B182" s="29" t="inlineStr">
        <is>
          <t>coach</t>
        </is>
      </c>
      <c r="C182" s="29" t="n">
        <v>1</v>
      </c>
      <c r="D182" s="29" t="inlineStr">
        <is>
          <t>Mes tâches</t>
        </is>
      </c>
      <c r="E182" s="29" t="inlineStr">
        <is>
          <t>Agrégation : présences à saisir, devoirs à corriger, demandes en attente.</t>
        </is>
      </c>
      <c r="F182" s="35" t="inlineStr">
        <is>
          <t>Opérationnel</t>
        </is>
      </c>
      <c r="G182" s="27" t="inlineStr"/>
      <c r="H182" s="27" t="inlineStr"/>
      <c r="I182" s="27" t="inlineStr"/>
    </row>
    <row r="183">
      <c r="A183" s="25" t="inlineStr">
        <is>
          <t>Coach</t>
        </is>
      </c>
      <c r="B183" s="26" t="inlineStr">
        <is>
          <t>coach</t>
        </is>
      </c>
      <c r="C183" s="26" t="n">
        <v>2</v>
      </c>
      <c r="D183" s="26" t="inlineStr">
        <is>
          <t>Tableau de bord</t>
        </is>
      </c>
      <c r="E183" s="26" t="inlineStr">
        <is>
          <t>Synthèse de ses classes et de son activité.</t>
        </is>
      </c>
      <c r="F183" s="36" t="inlineStr">
        <is>
          <t>Opérationnel</t>
        </is>
      </c>
      <c r="G183" s="27" t="inlineStr"/>
      <c r="H183" s="27" t="inlineStr"/>
      <c r="I183" s="27" t="inlineStr"/>
    </row>
    <row r="184">
      <c r="A184" s="28" t="inlineStr">
        <is>
          <t>Coach</t>
        </is>
      </c>
      <c r="B184" s="29" t="inlineStr">
        <is>
          <t>coach</t>
        </is>
      </c>
      <c r="C184" s="29" t="n">
        <v>3</v>
      </c>
      <c r="D184" s="29" t="inlineStr">
        <is>
          <t>Mes Contrats</t>
        </is>
      </c>
      <c r="E184" s="29" t="inlineStr">
        <is>
          <t>Ses classes sous contrat, avec leurs apprenants.</t>
        </is>
      </c>
      <c r="F184" s="35" t="inlineStr">
        <is>
          <t>Opérationnel</t>
        </is>
      </c>
      <c r="G184" s="27" t="inlineStr"/>
      <c r="H184" s="27" t="inlineStr"/>
      <c r="I184" s="27" t="inlineStr"/>
    </row>
    <row r="185">
      <c r="A185" s="25" t="inlineStr">
        <is>
          <t>Coach</t>
        </is>
      </c>
      <c r="B185" s="26" t="inlineStr">
        <is>
          <t>coach</t>
        </is>
      </c>
      <c r="C185" s="26" t="n">
        <v>4</v>
      </c>
      <c r="D185" s="26" t="inlineStr">
        <is>
          <t>Apprenants</t>
        </is>
      </c>
      <c r="E185" s="26" t="inlineStr">
        <is>
          <t>Fiche apprenant : profil, tests de niveau, présences, devoirs et notes, parcours, parents. Export PDF. Demande de transfert.</t>
        </is>
      </c>
      <c r="F185" s="36" t="inlineStr">
        <is>
          <t>Opérationnel</t>
        </is>
      </c>
      <c r="G185" s="27" t="inlineStr"/>
      <c r="H185" s="27" t="inlineStr"/>
      <c r="I185" s="27" t="inlineStr"/>
    </row>
    <row r="186">
      <c r="A186" s="28" t="inlineStr">
        <is>
          <t>Coach</t>
        </is>
      </c>
      <c r="B186" s="29" t="inlineStr">
        <is>
          <t>coach</t>
        </is>
      </c>
      <c r="C186" s="29" t="n">
        <v>5</v>
      </c>
      <c r="D186" s="29" t="inlineStr">
        <is>
          <t>Planning</t>
        </is>
      </c>
      <c r="E186" s="29" t="inlineStr">
        <is>
          <t>Son planning de séances.</t>
        </is>
      </c>
      <c r="F186" s="35" t="inlineStr">
        <is>
          <t>Opérationnel</t>
        </is>
      </c>
      <c r="G186" s="27" t="inlineStr"/>
      <c r="H186" s="27" t="inlineStr"/>
      <c r="I186" s="27" t="inlineStr"/>
    </row>
    <row r="187">
      <c r="A187" s="25" t="inlineStr">
        <is>
          <t>Coach</t>
        </is>
      </c>
      <c r="B187" s="26" t="inlineStr">
        <is>
          <t>coach</t>
        </is>
      </c>
      <c r="C187" s="26" t="n">
        <v>6</v>
      </c>
      <c r="D187" s="26" t="inlineStr">
        <is>
          <t>Disponibilités</t>
        </is>
      </c>
      <c r="E187" s="26" t="inlineStr">
        <is>
          <t>Déclaration de ses créneaux disponibles.</t>
        </is>
      </c>
      <c r="F187" s="36" t="inlineStr">
        <is>
          <t>Opérationnel</t>
        </is>
      </c>
      <c r="G187" s="27" t="inlineStr"/>
      <c r="H187" s="27" t="inlineStr"/>
      <c r="I187" s="27" t="inlineStr"/>
    </row>
    <row r="188">
      <c r="A188" s="28" t="inlineStr">
        <is>
          <t>Coach</t>
        </is>
      </c>
      <c r="B188" s="29" t="inlineStr">
        <is>
          <t>coach</t>
        </is>
      </c>
      <c r="C188" s="29" t="n">
        <v>7</v>
      </c>
      <c r="D188" s="29" t="inlineStr">
        <is>
          <t>Présences</t>
        </is>
      </c>
      <c r="E188" s="29" t="inlineStr">
        <is>
          <t>Saisie des feuilles de présence par séance.</t>
        </is>
      </c>
      <c r="F188" s="35" t="inlineStr">
        <is>
          <t>Opérationnel</t>
        </is>
      </c>
      <c r="G188" s="27" t="inlineStr"/>
      <c r="H188" s="27" t="inlineStr"/>
      <c r="I188" s="27" t="inlineStr"/>
    </row>
    <row r="189">
      <c r="A189" s="25" t="inlineStr">
        <is>
          <t>Coach</t>
        </is>
      </c>
      <c r="B189" s="26" t="inlineStr">
        <is>
          <t>coach</t>
        </is>
      </c>
      <c r="C189" s="26" t="n">
        <v>8</v>
      </c>
      <c r="D189" s="26" t="inlineStr">
        <is>
          <t>Évaluations</t>
        </is>
      </c>
      <c r="E189" s="26" t="inlineStr">
        <is>
          <t>Création et notation des évaluations.</t>
        </is>
      </c>
      <c r="F189" s="36" t="inlineStr">
        <is>
          <t>Opérationnel</t>
        </is>
      </c>
      <c r="G189" s="27" t="inlineStr"/>
      <c r="H189" s="27" t="inlineStr"/>
      <c r="I189" s="27" t="inlineStr"/>
    </row>
    <row r="190">
      <c r="A190" s="28" t="inlineStr">
        <is>
          <t>Coach</t>
        </is>
      </c>
      <c r="B190" s="29" t="inlineStr">
        <is>
          <t>coach</t>
        </is>
      </c>
      <c r="C190" s="29" t="n">
        <v>9</v>
      </c>
      <c r="D190" s="29" t="inlineStr">
        <is>
          <t>Session Live</t>
        </is>
      </c>
      <c r="E190" s="29" t="inlineStr">
        <is>
          <t>Animation de la séance en ligne.</t>
        </is>
      </c>
      <c r="F190" s="35" t="inlineStr">
        <is>
          <t>Opérationnel</t>
        </is>
      </c>
      <c r="G190" s="27" t="inlineStr"/>
      <c r="H190" s="27" t="inlineStr"/>
      <c r="I190" s="27" t="inlineStr"/>
    </row>
    <row r="191">
      <c r="A191" s="25" t="inlineStr">
        <is>
          <t>Coach</t>
        </is>
      </c>
      <c r="B191" s="26" t="inlineStr">
        <is>
          <t>coach</t>
        </is>
      </c>
      <c r="C191" s="26" t="n">
        <v>10</v>
      </c>
      <c r="D191" s="26" t="inlineStr">
        <is>
          <t>Médiathèque</t>
        </is>
      </c>
      <c r="E191" s="26" t="inlineStr">
        <is>
          <t>Contenus pédagogiques : création de modules et de blocs.</t>
        </is>
      </c>
      <c r="F191" s="36" t="inlineStr">
        <is>
          <t>Opérationnel</t>
        </is>
      </c>
      <c r="G191" s="27" t="inlineStr"/>
      <c r="H191" s="27" t="inlineStr"/>
      <c r="I191" s="27" t="inlineStr"/>
    </row>
    <row r="192">
      <c r="A192" s="28" t="inlineStr">
        <is>
          <t>Coach</t>
        </is>
      </c>
      <c r="B192" s="29" t="inlineStr">
        <is>
          <t>coach</t>
        </is>
      </c>
      <c r="C192" s="29" t="n">
        <v>11</v>
      </c>
      <c r="D192" s="29" t="inlineStr">
        <is>
          <t>Ressources</t>
        </is>
      </c>
      <c r="E192" s="29" t="inlineStr">
        <is>
          <t>Fichiers partagés avec ses classes.</t>
        </is>
      </c>
      <c r="F192" s="35" t="inlineStr">
        <is>
          <t>Opérationnel</t>
        </is>
      </c>
      <c r="G192" s="27" t="inlineStr"/>
      <c r="H192" s="27" t="inlineStr"/>
      <c r="I192" s="27" t="inlineStr"/>
    </row>
    <row r="193">
      <c r="A193" s="25" t="inlineStr">
        <is>
          <t>Coach</t>
        </is>
      </c>
      <c r="B193" s="26" t="inlineStr">
        <is>
          <t>coach</t>
        </is>
      </c>
      <c r="C193" s="26" t="n">
        <v>12</v>
      </c>
      <c r="D193" s="26" t="inlineStr">
        <is>
          <t>Mes demandes</t>
        </is>
      </c>
      <c r="E193" s="26" t="inlineStr">
        <is>
          <t>Ses demandes : remplacement, transfert d'apprenant, congés.</t>
        </is>
      </c>
      <c r="F193" s="36" t="inlineStr">
        <is>
          <t>Opérationnel</t>
        </is>
      </c>
      <c r="G193" s="27" t="inlineStr"/>
      <c r="H193" s="27" t="inlineStr"/>
      <c r="I193" s="27" t="inlineStr"/>
    </row>
    <row r="194">
      <c r="A194" s="28" t="inlineStr">
        <is>
          <t>Coach</t>
        </is>
      </c>
      <c r="B194" s="29" t="inlineStr">
        <is>
          <t>coach</t>
        </is>
      </c>
      <c r="C194" s="29" t="n">
        <v>13</v>
      </c>
      <c r="D194" s="29" t="inlineStr">
        <is>
          <t>Honoraires</t>
        </is>
      </c>
      <c r="E194" s="29" t="inlineStr">
        <is>
          <t>Ses honoraires calculés sur les séances réalisées.</t>
        </is>
      </c>
      <c r="F194" s="35" t="inlineStr">
        <is>
          <t>Opérationnel</t>
        </is>
      </c>
      <c r="G194" s="27" t="inlineStr"/>
      <c r="H194" s="27" t="inlineStr"/>
      <c r="I194" s="27" t="inlineStr"/>
    </row>
    <row r="195">
      <c r="A195" s="25" t="inlineStr">
        <is>
          <t>Coach</t>
        </is>
      </c>
      <c r="B195" s="26" t="inlineStr">
        <is>
          <t>coach</t>
        </is>
      </c>
      <c r="C195" s="26" t="n">
        <v>14</v>
      </c>
      <c r="D195" s="26" t="inlineStr">
        <is>
          <t>Récompenses</t>
        </is>
      </c>
      <c r="E195" s="26" t="inlineStr">
        <is>
          <t>Gamification : points et récompenses du coach.</t>
        </is>
      </c>
      <c r="F195" s="36" t="inlineStr">
        <is>
          <t>Opérationnel</t>
        </is>
      </c>
      <c r="G195" s="27" t="inlineStr"/>
      <c r="H195" s="27" t="inlineStr"/>
      <c r="I195" s="27" t="inlineStr"/>
    </row>
    <row r="196">
      <c r="A196" s="28" t="inlineStr">
        <is>
          <t>Coach</t>
        </is>
      </c>
      <c r="B196" s="29" t="inlineStr">
        <is>
          <t>coach</t>
        </is>
      </c>
      <c r="C196" s="29" t="n">
        <v>15</v>
      </c>
      <c r="D196" s="29" t="inlineStr">
        <is>
          <t>Messages</t>
        </is>
      </c>
      <c r="E196" s="29" t="inlineStr">
        <is>
          <t>Messagerie interne et chats de classe.</t>
        </is>
      </c>
      <c r="F196" s="35" t="inlineStr">
        <is>
          <t>Opérationnel</t>
        </is>
      </c>
      <c r="G196" s="27" t="inlineStr"/>
      <c r="H196" s="27" t="inlineStr"/>
      <c r="I196" s="27" t="inlineStr"/>
    </row>
    <row r="197">
      <c r="A197" s="25" t="inlineStr">
        <is>
          <t>Coach</t>
        </is>
      </c>
      <c r="B197" s="26" t="inlineStr">
        <is>
          <t>coach</t>
        </is>
      </c>
      <c r="C197" s="26" t="n">
        <v>16</v>
      </c>
      <c r="D197" s="26" t="inlineStr">
        <is>
          <t>Notifications</t>
        </is>
      </c>
      <c r="E197" s="26" t="inlineStr">
        <is>
          <t>Centre de notifications.</t>
        </is>
      </c>
      <c r="F197" s="36" t="inlineStr">
        <is>
          <t>Opérationnel</t>
        </is>
      </c>
      <c r="G197" s="27" t="inlineStr"/>
      <c r="H197" s="27" t="inlineStr"/>
      <c r="I197" s="27" t="inlineStr"/>
    </row>
    <row r="198">
      <c r="A198" s="28" t="inlineStr">
        <is>
          <t>Coach</t>
        </is>
      </c>
      <c r="B198" s="29" t="inlineStr">
        <is>
          <t>coach</t>
        </is>
      </c>
      <c r="C198" s="29" t="n">
        <v>17</v>
      </c>
      <c r="D198" s="29" t="inlineStr">
        <is>
          <t>Mon profil</t>
        </is>
      </c>
      <c r="E198" s="29" t="inlineStr">
        <is>
          <t>Ses informations, son contrat, sa catégorie.</t>
        </is>
      </c>
      <c r="F198" s="35" t="inlineStr">
        <is>
          <t>Opérationnel</t>
        </is>
      </c>
      <c r="G198" s="27" t="inlineStr"/>
      <c r="H198" s="27" t="inlineStr"/>
      <c r="I198" s="27" t="inlineStr"/>
    </row>
    <row r="199">
      <c r="A199" s="28" t="inlineStr">
        <is>
          <t>Apprenant</t>
        </is>
      </c>
      <c r="B199" s="29" t="inlineStr">
        <is>
          <t>apprenant</t>
        </is>
      </c>
      <c r="C199" s="29" t="n">
        <v>1</v>
      </c>
      <c r="D199" s="29" t="inlineStr">
        <is>
          <t>Tableau de bord</t>
        </is>
      </c>
      <c r="E199" s="29" t="inlineStr">
        <is>
          <t>Synthèse de son parcours : prochaine séance, progression, alertes.</t>
        </is>
      </c>
      <c r="F199" s="35" t="inlineStr">
        <is>
          <t>Opérationnel</t>
        </is>
      </c>
      <c r="G199" s="27" t="inlineStr"/>
      <c r="H199" s="27" t="inlineStr"/>
      <c r="I199" s="27" t="inlineStr"/>
    </row>
    <row r="200">
      <c r="A200" s="25" t="inlineStr">
        <is>
          <t>Apprenant</t>
        </is>
      </c>
      <c r="B200" s="26" t="inlineStr">
        <is>
          <t>apprenant</t>
        </is>
      </c>
      <c r="C200" s="26" t="n">
        <v>2</v>
      </c>
      <c r="D200" s="26" t="inlineStr">
        <is>
          <t>Onboarding</t>
        </is>
      </c>
      <c r="E200" s="26" t="inlineStr">
        <is>
          <t>Parcours d'accueil des premières connexions.</t>
        </is>
      </c>
      <c r="F200" s="36" t="inlineStr">
        <is>
          <t>Opérationnel</t>
        </is>
      </c>
      <c r="G200" s="27" t="inlineStr"/>
      <c r="H200" s="27" t="inlineStr"/>
      <c r="I200" s="27" t="inlineStr"/>
    </row>
    <row r="201">
      <c r="A201" s="28" t="inlineStr">
        <is>
          <t>Apprenant</t>
        </is>
      </c>
      <c r="B201" s="29" t="inlineStr">
        <is>
          <t>apprenant</t>
        </is>
      </c>
      <c r="C201" s="29" t="n">
        <v>3</v>
      </c>
      <c r="D201" s="29" t="inlineStr">
        <is>
          <t>Mes cours</t>
        </is>
      </c>
      <c r="E201" s="29" t="inlineStr">
        <is>
          <t>Ses cours et contenus, bornés à sa date d'arrivée dans la classe.</t>
        </is>
      </c>
      <c r="F201" s="35" t="inlineStr">
        <is>
          <t>Opérationnel</t>
        </is>
      </c>
      <c r="G201" s="27" t="inlineStr"/>
      <c r="H201" s="27" t="inlineStr"/>
      <c r="I201" s="27" t="inlineStr"/>
    </row>
    <row r="202">
      <c r="A202" s="25" t="inlineStr">
        <is>
          <t>Apprenant</t>
        </is>
      </c>
      <c r="B202" s="26" t="inlineStr">
        <is>
          <t>apprenant</t>
        </is>
      </c>
      <c r="C202" s="26" t="n">
        <v>4</v>
      </c>
      <c r="D202" s="26" t="inlineStr">
        <is>
          <t>Planning</t>
        </is>
      </c>
      <c r="E202" s="26" t="inlineStr">
        <is>
          <t>Son planning de séances.</t>
        </is>
      </c>
      <c r="F202" s="36" t="inlineStr">
        <is>
          <t>Opérationnel</t>
        </is>
      </c>
      <c r="G202" s="27" t="inlineStr"/>
      <c r="H202" s="27" t="inlineStr"/>
      <c r="I202" s="27" t="inlineStr"/>
    </row>
    <row r="203">
      <c r="A203" s="28" t="inlineStr">
        <is>
          <t>Apprenant</t>
        </is>
      </c>
      <c r="B203" s="29" t="inlineStr">
        <is>
          <t>apprenant</t>
        </is>
      </c>
      <c r="C203" s="29" t="n">
        <v>5</v>
      </c>
      <c r="D203" s="29" t="inlineStr">
        <is>
          <t>Mes présences</t>
        </is>
      </c>
      <c r="E203" s="29" t="inlineStr">
        <is>
          <t>Son assiduité séance par séance.</t>
        </is>
      </c>
      <c r="F203" s="35" t="inlineStr">
        <is>
          <t>Opérationnel</t>
        </is>
      </c>
      <c r="G203" s="27" t="inlineStr"/>
      <c r="H203" s="27" t="inlineStr"/>
      <c r="I203" s="27" t="inlineStr"/>
    </row>
    <row r="204">
      <c r="A204" s="25" t="inlineStr">
        <is>
          <t>Apprenant</t>
        </is>
      </c>
      <c r="B204" s="26" t="inlineStr">
        <is>
          <t>apprenant</t>
        </is>
      </c>
      <c r="C204" s="26" t="n">
        <v>6</v>
      </c>
      <c r="D204" s="26" t="inlineStr">
        <is>
          <t>Devoirs &amp; Évaluations</t>
        </is>
      </c>
      <c r="E204" s="26" t="inlineStr">
        <is>
          <t>Ses devoirs à rendre et ses évaluations.</t>
        </is>
      </c>
      <c r="F204" s="36" t="inlineStr">
        <is>
          <t>Opérationnel</t>
        </is>
      </c>
      <c r="G204" s="27" t="inlineStr"/>
      <c r="H204" s="27" t="inlineStr"/>
      <c r="I204" s="27" t="inlineStr"/>
    </row>
    <row r="205">
      <c r="A205" s="28" t="inlineStr">
        <is>
          <t>Apprenant</t>
        </is>
      </c>
      <c r="B205" s="29" t="inlineStr">
        <is>
          <t>apprenant</t>
        </is>
      </c>
      <c r="C205" s="29" t="n">
        <v>7</v>
      </c>
      <c r="D205" s="29" t="inlineStr">
        <is>
          <t>Résultats</t>
        </is>
      </c>
      <c r="E205" s="29" t="inlineStr">
        <is>
          <t>Ses notes et ses résultats.</t>
        </is>
      </c>
      <c r="F205" s="35" t="inlineStr">
        <is>
          <t>Opérationnel</t>
        </is>
      </c>
      <c r="G205" s="27" t="inlineStr"/>
      <c r="H205" s="27" t="inlineStr"/>
      <c r="I205" s="27" t="inlineStr"/>
    </row>
    <row r="206">
      <c r="A206" s="25" t="inlineStr">
        <is>
          <t>Apprenant</t>
        </is>
      </c>
      <c r="B206" s="26" t="inlineStr">
        <is>
          <t>apprenant</t>
        </is>
      </c>
      <c r="C206" s="26" t="n">
        <v>8</v>
      </c>
      <c r="D206" s="26" t="inlineStr">
        <is>
          <t>Objectifs &amp; Certifications</t>
        </is>
      </c>
      <c r="E206" s="26" t="inlineStr">
        <is>
          <t>Ses objectifs et les certifications visées.</t>
        </is>
      </c>
      <c r="F206" s="36" t="inlineStr">
        <is>
          <t>Opérationnel</t>
        </is>
      </c>
      <c r="G206" s="27" t="inlineStr"/>
      <c r="H206" s="27" t="inlineStr"/>
      <c r="I206" s="27" t="inlineStr"/>
    </row>
    <row r="207">
      <c r="A207" s="28" t="inlineStr">
        <is>
          <t>Apprenant</t>
        </is>
      </c>
      <c r="B207" s="29" t="inlineStr">
        <is>
          <t>apprenant</t>
        </is>
      </c>
      <c r="C207" s="29" t="n">
        <v>9</v>
      </c>
      <c r="D207" s="29" t="inlineStr">
        <is>
          <t>Session Live</t>
        </is>
      </c>
      <c r="E207" s="29" t="inlineStr">
        <is>
          <t>Rejoindre la séance en ligne.</t>
        </is>
      </c>
      <c r="F207" s="35" t="inlineStr">
        <is>
          <t>Opérationnel</t>
        </is>
      </c>
      <c r="G207" s="27" t="inlineStr"/>
      <c r="H207" s="27" t="inlineStr"/>
      <c r="I207" s="27" t="inlineStr"/>
    </row>
    <row r="208">
      <c r="A208" s="25" t="inlineStr">
        <is>
          <t>Apprenant</t>
        </is>
      </c>
      <c r="B208" s="26" t="inlineStr">
        <is>
          <t>apprenant</t>
        </is>
      </c>
      <c r="C208" s="26" t="n">
        <v>10</v>
      </c>
      <c r="D208" s="26" t="inlineStr">
        <is>
          <t>Ressources</t>
        </is>
      </c>
      <c r="E208" s="26" t="inlineStr">
        <is>
          <t>Fichiers partagés par son coach.</t>
        </is>
      </c>
      <c r="F208" s="36" t="inlineStr">
        <is>
          <t>Opérationnel</t>
        </is>
      </c>
      <c r="G208" s="27" t="inlineStr"/>
      <c r="H208" s="27" t="inlineStr"/>
      <c r="I208" s="27" t="inlineStr"/>
    </row>
    <row r="209">
      <c r="A209" s="28" t="inlineStr">
        <is>
          <t>Apprenant</t>
        </is>
      </c>
      <c r="B209" s="29" t="inlineStr">
        <is>
          <t>apprenant</t>
        </is>
      </c>
      <c r="C209" s="29" t="n">
        <v>11</v>
      </c>
      <c r="D209" s="29" t="inlineStr">
        <is>
          <t>Gamification</t>
        </is>
      </c>
      <c r="E209" s="29" t="inlineStr">
        <is>
          <t>Points, badges et niveaux.</t>
        </is>
      </c>
      <c r="F209" s="35" t="inlineStr">
        <is>
          <t>Opérationnel</t>
        </is>
      </c>
      <c r="G209" s="27" t="inlineStr"/>
      <c r="H209" s="27" t="inlineStr"/>
      <c r="I209" s="27" t="inlineStr"/>
    </row>
    <row r="210">
      <c r="A210" s="25" t="inlineStr">
        <is>
          <t>Apprenant</t>
        </is>
      </c>
      <c r="B210" s="26" t="inlineStr">
        <is>
          <t>apprenant</t>
        </is>
      </c>
      <c r="C210" s="26" t="n">
        <v>12</v>
      </c>
      <c r="D210" s="26" t="inlineStr">
        <is>
          <t>Mini-jeux</t>
        </is>
      </c>
      <c r="E210" s="26" t="inlineStr">
        <is>
          <t>Jeux d'entraînement linguistique.</t>
        </is>
      </c>
      <c r="F210" s="36" t="inlineStr">
        <is>
          <t>Opérationnel</t>
        </is>
      </c>
      <c r="G210" s="27" t="inlineStr"/>
      <c r="H210" s="27" t="inlineStr"/>
      <c r="I210" s="27" t="inlineStr"/>
    </row>
    <row r="211">
      <c r="A211" s="28" t="inlineStr">
        <is>
          <t>Apprenant</t>
        </is>
      </c>
      <c r="B211" s="29" t="inlineStr">
        <is>
          <t>apprenant</t>
        </is>
      </c>
      <c r="C211" s="29" t="n">
        <v>13</v>
      </c>
      <c r="D211" s="29" t="inlineStr">
        <is>
          <t>Dictionnaire</t>
        </is>
      </c>
      <c r="E211" s="29" t="inlineStr">
        <is>
          <t>Dictionnaire intégré.</t>
        </is>
      </c>
      <c r="F211" s="35" t="inlineStr">
        <is>
          <t>Opérationnel</t>
        </is>
      </c>
      <c r="G211" s="27" t="inlineStr"/>
      <c r="H211" s="27" t="inlineStr"/>
      <c r="I211" s="27" t="inlineStr"/>
    </row>
    <row r="212">
      <c r="A212" s="25" t="inlineStr">
        <is>
          <t>Apprenant</t>
        </is>
      </c>
      <c r="B212" s="26" t="inlineStr">
        <is>
          <t>apprenant</t>
        </is>
      </c>
      <c r="C212" s="26" t="n">
        <v>14</v>
      </c>
      <c r="D212" s="26" t="inlineStr">
        <is>
          <t>Paiement</t>
        </is>
      </c>
      <c r="E212" s="26" t="inlineStr">
        <is>
          <t>Ses échéances, paiement en ligne, historique des versements.</t>
        </is>
      </c>
      <c r="F212" s="36" t="inlineStr">
        <is>
          <t>Opérationnel</t>
        </is>
      </c>
      <c r="G212" s="27" t="inlineStr"/>
      <c r="H212" s="27" t="inlineStr"/>
      <c r="I212" s="27" t="inlineStr"/>
    </row>
    <row r="213">
      <c r="A213" s="28" t="inlineStr">
        <is>
          <t>Apprenant</t>
        </is>
      </c>
      <c r="B213" s="29" t="inlineStr">
        <is>
          <t>apprenant</t>
        </is>
      </c>
      <c r="C213" s="29" t="n">
        <v>15</v>
      </c>
      <c r="D213" s="29" t="inlineStr">
        <is>
          <t>Boutique</t>
        </is>
      </c>
      <c r="E213" s="29" t="inlineStr">
        <is>
          <t>Commandes dans la boutique BET.</t>
        </is>
      </c>
      <c r="F213" s="35" t="inlineStr">
        <is>
          <t>Opérationnel</t>
        </is>
      </c>
      <c r="G213" s="27" t="inlineStr"/>
      <c r="H213" s="27" t="inlineStr"/>
      <c r="I213" s="27" t="inlineStr"/>
    </row>
    <row r="214">
      <c r="A214" s="25" t="inlineStr">
        <is>
          <t>Apprenant</t>
        </is>
      </c>
      <c r="B214" s="26" t="inlineStr">
        <is>
          <t>apprenant</t>
        </is>
      </c>
      <c r="C214" s="26" t="n">
        <v>16</v>
      </c>
      <c r="D214" s="26" t="inlineStr">
        <is>
          <t>Mon profil</t>
        </is>
      </c>
      <c r="E214" s="26" t="inlineStr">
        <is>
          <t>Ses informations, son niveau et son historique de tests.</t>
        </is>
      </c>
      <c r="F214" s="36" t="inlineStr">
        <is>
          <t>Opérationnel</t>
        </is>
      </c>
      <c r="G214" s="27" t="inlineStr"/>
      <c r="H214" s="27" t="inlineStr"/>
      <c r="I214" s="27" t="inlineStr"/>
    </row>
    <row r="215">
      <c r="A215" s="28" t="inlineStr">
        <is>
          <t>Apprenant</t>
        </is>
      </c>
      <c r="B215" s="29" t="inlineStr">
        <is>
          <t>apprenant</t>
        </is>
      </c>
      <c r="C215" s="29" t="n">
        <v>17</v>
      </c>
      <c r="D215" s="29" t="inlineStr">
        <is>
          <t>Mon témoignage</t>
        </is>
      </c>
      <c r="E215" s="29" t="inlineStr">
        <is>
          <t>Dépôt d'un témoignage publiable sur le site.</t>
        </is>
      </c>
      <c r="F215" s="35" t="inlineStr">
        <is>
          <t>Opérationnel</t>
        </is>
      </c>
      <c r="G215" s="27" t="inlineStr"/>
      <c r="H215" s="27" t="inlineStr"/>
      <c r="I215" s="27" t="inlineStr"/>
    </row>
    <row r="216">
      <c r="A216" s="25" t="inlineStr">
        <is>
          <t>Apprenant</t>
        </is>
      </c>
      <c r="B216" s="26" t="inlineStr">
        <is>
          <t>apprenant</t>
        </is>
      </c>
      <c r="C216" s="26" t="n">
        <v>18</v>
      </c>
      <c r="D216" s="26" t="inlineStr">
        <is>
          <t>Messages</t>
        </is>
      </c>
      <c r="E216" s="26" t="inlineStr">
        <is>
          <t>Messagerie avec son coach et sa classe.</t>
        </is>
      </c>
      <c r="F216" s="36" t="inlineStr">
        <is>
          <t>Opérationnel</t>
        </is>
      </c>
      <c r="G216" s="27" t="inlineStr"/>
      <c r="H216" s="27" t="inlineStr"/>
      <c r="I216" s="27" t="inlineStr"/>
    </row>
    <row r="217">
      <c r="A217" s="28" t="inlineStr">
        <is>
          <t>Apprenant</t>
        </is>
      </c>
      <c r="B217" s="29" t="inlineStr">
        <is>
          <t>apprenant</t>
        </is>
      </c>
      <c r="C217" s="29" t="n">
        <v>19</v>
      </c>
      <c r="D217" s="29" t="inlineStr">
        <is>
          <t>Contacts &amp; Support</t>
        </is>
      </c>
      <c r="E217" s="29" t="inlineStr">
        <is>
          <t>Coordonnées utiles et demande d'assistance.</t>
        </is>
      </c>
      <c r="F217" s="35" t="inlineStr">
        <is>
          <t>Opérationnel</t>
        </is>
      </c>
      <c r="G217" s="27" t="inlineStr"/>
      <c r="H217" s="27" t="inlineStr"/>
      <c r="I217" s="27" t="inlineStr"/>
    </row>
    <row r="218">
      <c r="A218" s="25" t="inlineStr">
        <is>
          <t>Apprenant</t>
        </is>
      </c>
      <c r="B218" s="26" t="inlineStr">
        <is>
          <t>apprenant</t>
        </is>
      </c>
      <c r="C218" s="26" t="n">
        <v>20</v>
      </c>
      <c r="D218" s="26" t="inlineStr">
        <is>
          <t>Notifications</t>
        </is>
      </c>
      <c r="E218" s="26" t="inlineStr">
        <is>
          <t>Centre de notifications.</t>
        </is>
      </c>
      <c r="F218" s="36" t="inlineStr">
        <is>
          <t>Opérationnel</t>
        </is>
      </c>
      <c r="G218" s="27" t="inlineStr"/>
      <c r="H218" s="27" t="inlineStr"/>
      <c r="I218" s="27" t="inlineStr"/>
    </row>
    <row r="219">
      <c r="A219" s="28" t="inlineStr">
        <is>
          <t>Parent</t>
        </is>
      </c>
      <c r="B219" s="29" t="inlineStr">
        <is>
          <t>parent</t>
        </is>
      </c>
      <c r="C219" s="29" t="n">
        <v>1</v>
      </c>
      <c r="D219" s="29" t="inlineStr">
        <is>
          <t>Vue d'ensemble</t>
        </is>
      </c>
      <c r="E219" s="29" t="inlineStr">
        <is>
          <t>Synthèse du parcours de son enfant.</t>
        </is>
      </c>
      <c r="F219" s="35" t="inlineStr">
        <is>
          <t>Opérationnel</t>
        </is>
      </c>
      <c r="G219" s="27" t="inlineStr"/>
      <c r="H219" s="27" t="inlineStr"/>
      <c r="I219" s="27" t="inlineStr"/>
    </row>
    <row r="220">
      <c r="A220" s="25" t="inlineStr">
        <is>
          <t>Parent</t>
        </is>
      </c>
      <c r="B220" s="26" t="inlineStr">
        <is>
          <t>parent</t>
        </is>
      </c>
      <c r="C220" s="26" t="n">
        <v>2</v>
      </c>
      <c r="D220" s="26" t="inlineStr">
        <is>
          <t>Séances</t>
        </is>
      </c>
      <c r="E220" s="26" t="inlineStr">
        <is>
          <t>Séances passées et à venir.</t>
        </is>
      </c>
      <c r="F220" s="36" t="inlineStr">
        <is>
          <t>Opérationnel</t>
        </is>
      </c>
      <c r="G220" s="27" t="inlineStr"/>
      <c r="H220" s="27" t="inlineStr"/>
      <c r="I220" s="27" t="inlineStr"/>
    </row>
    <row r="221">
      <c r="A221" s="28" t="inlineStr">
        <is>
          <t>Parent</t>
        </is>
      </c>
      <c r="B221" s="29" t="inlineStr">
        <is>
          <t>parent</t>
        </is>
      </c>
      <c r="C221" s="29" t="n">
        <v>3</v>
      </c>
      <c r="D221" s="29" t="inlineStr">
        <is>
          <t>Présences</t>
        </is>
      </c>
      <c r="E221" s="29" t="inlineStr">
        <is>
          <t>Assiduité de son enfant.</t>
        </is>
      </c>
      <c r="F221" s="35" t="inlineStr">
        <is>
          <t>Opérationnel</t>
        </is>
      </c>
      <c r="G221" s="27" t="inlineStr"/>
      <c r="H221" s="27" t="inlineStr"/>
      <c r="I221" s="27" t="inlineStr"/>
    </row>
    <row r="222">
      <c r="A222" s="25" t="inlineStr">
        <is>
          <t>Parent</t>
        </is>
      </c>
      <c r="B222" s="26" t="inlineStr">
        <is>
          <t>parent</t>
        </is>
      </c>
      <c r="C222" s="26" t="n">
        <v>4</v>
      </c>
      <c r="D222" s="26" t="inlineStr">
        <is>
          <t>Devoirs</t>
        </is>
      </c>
      <c r="E222" s="26" t="inlineStr">
        <is>
          <t>Devoirs donnés et rendus.</t>
        </is>
      </c>
      <c r="F222" s="36" t="inlineStr">
        <is>
          <t>Opérationnel</t>
        </is>
      </c>
      <c r="G222" s="27" t="inlineStr"/>
      <c r="H222" s="27" t="inlineStr"/>
      <c r="I222" s="27" t="inlineStr"/>
    </row>
    <row r="223">
      <c r="A223" s="28" t="inlineStr">
        <is>
          <t>Parent</t>
        </is>
      </c>
      <c r="B223" s="29" t="inlineStr">
        <is>
          <t>parent</t>
        </is>
      </c>
      <c r="C223" s="29" t="n">
        <v>5</v>
      </c>
      <c r="D223" s="29" t="inlineStr">
        <is>
          <t>Ressources</t>
        </is>
      </c>
      <c r="E223" s="29" t="inlineStr">
        <is>
          <t>Fichiers partagés par le coach.</t>
        </is>
      </c>
      <c r="F223" s="35" t="inlineStr">
        <is>
          <t>Opérationnel</t>
        </is>
      </c>
      <c r="G223" s="27" t="inlineStr"/>
      <c r="H223" s="27" t="inlineStr"/>
      <c r="I223" s="27" t="inlineStr"/>
    </row>
    <row r="224">
      <c r="A224" s="25" t="inlineStr">
        <is>
          <t>Parent</t>
        </is>
      </c>
      <c r="B224" s="26" t="inlineStr">
        <is>
          <t>parent</t>
        </is>
      </c>
      <c r="C224" s="26" t="n">
        <v>6</v>
      </c>
      <c r="D224" s="26" t="inlineStr">
        <is>
          <t>Résultats</t>
        </is>
      </c>
      <c r="E224" s="26" t="inlineStr">
        <is>
          <t>Notes et résultats.</t>
        </is>
      </c>
      <c r="F224" s="36" t="inlineStr">
        <is>
          <t>Opérationnel</t>
        </is>
      </c>
      <c r="G224" s="27" t="inlineStr"/>
      <c r="H224" s="27" t="inlineStr"/>
      <c r="I224" s="27" t="inlineStr"/>
    </row>
    <row r="225">
      <c r="A225" s="28" t="inlineStr">
        <is>
          <t>Parent</t>
        </is>
      </c>
      <c r="B225" s="29" t="inlineStr">
        <is>
          <t>parent</t>
        </is>
      </c>
      <c r="C225" s="29" t="n">
        <v>7</v>
      </c>
      <c r="D225" s="29" t="inlineStr">
        <is>
          <t>Évaluer le coach</t>
        </is>
      </c>
      <c r="E225" s="29" t="inlineStr">
        <is>
          <t>Dépôt d'une évaluation du coach.</t>
        </is>
      </c>
      <c r="F225" s="35" t="inlineStr">
        <is>
          <t>Opérationnel</t>
        </is>
      </c>
      <c r="G225" s="27" t="inlineStr"/>
      <c r="H225" s="27" t="inlineStr"/>
      <c r="I225" s="27" t="inlineStr"/>
    </row>
    <row r="226">
      <c r="A226" s="25" t="inlineStr">
        <is>
          <t>Parent</t>
        </is>
      </c>
      <c r="B226" s="26" t="inlineStr">
        <is>
          <t>parent</t>
        </is>
      </c>
      <c r="C226" s="26" t="n">
        <v>8</v>
      </c>
      <c r="D226" s="26" t="inlineStr">
        <is>
          <t>Paiement</t>
        </is>
      </c>
      <c r="E226" s="26" t="inlineStr">
        <is>
          <t>Échéances et paiement en ligne.</t>
        </is>
      </c>
      <c r="F226" s="36" t="inlineStr">
        <is>
          <t>Opérationnel</t>
        </is>
      </c>
      <c r="G226" s="27" t="inlineStr"/>
      <c r="H226" s="27" t="inlineStr"/>
      <c r="I226" s="27" t="inlineStr"/>
    </row>
    <row r="227">
      <c r="A227" s="28" t="inlineStr">
        <is>
          <t>Parent</t>
        </is>
      </c>
      <c r="B227" s="29" t="inlineStr">
        <is>
          <t>parent</t>
        </is>
      </c>
      <c r="C227" s="29" t="n">
        <v>9</v>
      </c>
      <c r="D227" s="29" t="inlineStr">
        <is>
          <t>Notifications</t>
        </is>
      </c>
      <c r="E227" s="29" t="inlineStr">
        <is>
          <t>Centre de notifications.</t>
        </is>
      </c>
      <c r="F227" s="35" t="inlineStr">
        <is>
          <t>Opérationnel</t>
        </is>
      </c>
      <c r="G227" s="27" t="inlineStr"/>
      <c r="H227" s="27" t="inlineStr"/>
      <c r="I227" s="27" t="inlineStr"/>
    </row>
    <row r="228">
      <c r="A228" s="25" t="inlineStr">
        <is>
          <t>Parent</t>
        </is>
      </c>
      <c r="B228" s="26" t="inlineStr">
        <is>
          <t>parent</t>
        </is>
      </c>
      <c r="C228" s="26" t="n">
        <v>10</v>
      </c>
      <c r="D228" s="26" t="inlineStr">
        <is>
          <t>Contactez BET</t>
        </is>
      </c>
      <c r="E228" s="26" t="inlineStr">
        <is>
          <t>Prise de contact avec l'équipe.</t>
        </is>
      </c>
      <c r="F228" s="36" t="inlineStr">
        <is>
          <t>Opérationnel</t>
        </is>
      </c>
      <c r="G228" s="27" t="inlineStr"/>
      <c r="H228" s="27" t="inlineStr"/>
      <c r="I228" s="27" t="inlineStr"/>
    </row>
  </sheetData>
  <autoFilter ref="A4:I228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  <col width="9" customWidth="1" min="4" max="4"/>
    <col width="70" customWidth="1" min="5" max="5"/>
    <col width="13" customWidth="1" min="6" max="6"/>
    <col width="11" customWidth="1" min="7" max="7"/>
    <col width="34" customWidth="1" min="8" max="8"/>
  </cols>
  <sheetData>
    <row r="1" ht="24" customHeight="1">
      <c r="A1" s="33" t="inlineStr">
        <is>
          <t>Modules transverses</t>
        </is>
      </c>
    </row>
    <row r="2" ht="16" customHeight="1">
      <c r="A2" s="34" t="inlineStr">
        <is>
          <t>Écrans accessibles hors tableau de bord, partagés par plusieurs profils selon leurs droits.</t>
        </is>
      </c>
    </row>
    <row r="4" ht="26" customHeight="1">
      <c r="A4" s="23" t="inlineStr">
        <is>
          <t>Module</t>
        </is>
      </c>
      <c r="B4" s="23" t="inlineStr">
        <is>
          <t>Adresse</t>
        </is>
      </c>
      <c r="C4" s="23" t="inlineStr">
        <is>
          <t>Fichiers</t>
        </is>
      </c>
      <c r="D4" s="23" t="inlineStr">
        <is>
          <t>Lignes</t>
        </is>
      </c>
      <c r="E4" s="23" t="inlineStr">
        <is>
          <t>Ce qu'il fait</t>
        </is>
      </c>
      <c r="F4" s="24" t="inlineStr">
        <is>
          <t>Complexité</t>
        </is>
      </c>
      <c r="G4" s="24" t="inlineStr">
        <is>
          <t>Charge (j)</t>
        </is>
      </c>
      <c r="H4" s="24" t="inlineStr">
        <is>
          <t>Commentaire</t>
        </is>
      </c>
    </row>
    <row r="5">
      <c r="A5" s="28" t="inlineStr">
        <is>
          <t>Gestion des droits</t>
        </is>
      </c>
      <c r="B5" s="29" t="inlineStr">
        <is>
          <t>/gestion-droits</t>
        </is>
      </c>
      <c r="C5" s="29" t="n">
        <v>1</v>
      </c>
      <c r="D5" s="29" t="n">
        <v>2306</v>
      </c>
      <c r="E5" s="29" t="inlineStr">
        <is>
          <t>Matrice des permissions par rôle et par domaine ; commande ce que chaque profil peut voir et modifier.</t>
        </is>
      </c>
      <c r="F5" s="27" t="inlineStr"/>
      <c r="G5" s="27" t="inlineStr"/>
      <c r="H5" s="27" t="inlineStr"/>
    </row>
    <row r="6">
      <c r="A6" s="25" t="inlineStr">
        <is>
          <t>Administration</t>
        </is>
      </c>
      <c r="B6" s="26" t="inlineStr">
        <is>
          <t>/administration</t>
        </is>
      </c>
      <c r="C6" s="26" t="n">
        <v>2</v>
      </c>
      <c r="D6" s="26" t="n">
        <v>878</v>
      </c>
      <c r="E6" s="26" t="inlineStr">
        <is>
          <t>Référentiels : centres, paramètres métier.</t>
        </is>
      </c>
      <c r="F6" s="27" t="inlineStr"/>
      <c r="G6" s="27" t="inlineStr"/>
      <c r="H6" s="27" t="inlineStr"/>
    </row>
    <row r="7">
      <c r="A7" s="28" t="inlineStr">
        <is>
          <t>Admin (sous-pages)</t>
        </is>
      </c>
      <c r="B7" s="29" t="inlineStr">
        <is>
          <t>divers</t>
        </is>
      </c>
      <c r="C7" s="29" t="n">
        <v>10</v>
      </c>
      <c r="D7" s="29" t="n">
        <v>3794</v>
      </c>
      <c r="E7" s="29" t="inlineStr">
        <is>
          <t>Écrans d'administration : configuration du site public, référentiels, outils internes.</t>
        </is>
      </c>
      <c r="F7" s="27" t="inlineStr"/>
      <c r="G7" s="27" t="inlineStr"/>
      <c r="H7" s="27" t="inlineStr"/>
    </row>
    <row r="8">
      <c r="A8" s="25" t="inlineStr">
        <is>
          <t>Cours</t>
        </is>
      </c>
      <c r="B8" s="26" t="inlineStr">
        <is>
          <t>/courses</t>
        </is>
      </c>
      <c r="C8" s="26" t="n">
        <v>1</v>
      </c>
      <c r="D8" s="26" t="n">
        <v>970</v>
      </c>
      <c r="E8" s="26" t="inlineStr">
        <is>
          <t>Catalogue des cours et contenus.</t>
        </is>
      </c>
      <c r="F8" s="27" t="inlineStr"/>
      <c r="G8" s="27" t="inlineStr"/>
      <c r="H8" s="27" t="inlineStr"/>
    </row>
    <row r="9">
      <c r="A9" s="28" t="inlineStr">
        <is>
          <t>Bulletins</t>
        </is>
      </c>
      <c r="B9" s="29" t="inlineStr">
        <is>
          <t>/bulletins</t>
        </is>
      </c>
      <c r="C9" s="29" t="n">
        <v>1</v>
      </c>
      <c r="D9" s="29" t="n">
        <v>849</v>
      </c>
      <c r="E9" s="29" t="inlineStr">
        <is>
          <t>Édition des bulletins de notes.</t>
        </is>
      </c>
      <c r="F9" s="27" t="inlineStr"/>
      <c r="G9" s="27" t="inlineStr"/>
      <c r="H9" s="27" t="inlineStr"/>
    </row>
    <row r="10">
      <c r="A10" s="25" t="inlineStr">
        <is>
          <t>Examens</t>
        </is>
      </c>
      <c r="B10" s="26" t="inlineStr">
        <is>
          <t>/exams</t>
        </is>
      </c>
      <c r="C10" s="26" t="n">
        <v>1</v>
      </c>
      <c r="D10" s="26" t="n">
        <v>583</v>
      </c>
      <c r="E10" s="26" t="inlineStr">
        <is>
          <t>Examens et sessions d'évaluation.</t>
        </is>
      </c>
      <c r="F10" s="27" t="inlineStr"/>
      <c r="G10" s="27" t="inlineStr"/>
      <c r="H10" s="27" t="inlineStr"/>
    </row>
    <row r="11">
      <c r="A11" s="28" t="inlineStr">
        <is>
          <t>Salles</t>
        </is>
      </c>
      <c r="B11" s="29" t="inlineStr">
        <is>
          <t>/rooms</t>
        </is>
      </c>
      <c r="C11" s="29" t="n">
        <v>1</v>
      </c>
      <c r="D11" s="29" t="n">
        <v>418</v>
      </c>
      <c r="E11" s="29" t="inlineStr">
        <is>
          <t>Salles des centres et leur occupation.</t>
        </is>
      </c>
      <c r="F11" s="27" t="inlineStr"/>
      <c r="G11" s="27" t="inlineStr"/>
      <c r="H11" s="27" t="inlineStr"/>
    </row>
    <row r="12">
      <c r="A12" s="25" t="inlineStr">
        <is>
          <t>Classes</t>
        </is>
      </c>
      <c r="B12" s="26" t="inlineStr">
        <is>
          <t>/classes</t>
        </is>
      </c>
      <c r="C12" s="26" t="n">
        <v>1</v>
      </c>
      <c r="D12" s="26" t="n">
        <v>312</v>
      </c>
      <c r="E12" s="26" t="inlineStr">
        <is>
          <t>Liste des classes.</t>
        </is>
      </c>
      <c r="F12" s="27" t="inlineStr"/>
      <c r="G12" s="27" t="inlineStr"/>
      <c r="H12" s="27" t="inlineStr"/>
    </row>
    <row r="13">
      <c r="A13" s="28" t="inlineStr">
        <is>
          <t>Sessions</t>
        </is>
      </c>
      <c r="B13" s="29" t="inlineStr">
        <is>
          <t>/session</t>
        </is>
      </c>
      <c r="C13" s="29" t="n">
        <v>1</v>
      </c>
      <c r="D13" s="29" t="n">
        <v>251</v>
      </c>
      <c r="E13" s="29" t="inlineStr">
        <is>
          <t>Sessions de formation.</t>
        </is>
      </c>
      <c r="F13" s="27" t="inlineStr"/>
      <c r="G13" s="27" t="inlineStr"/>
      <c r="H13" s="27" t="inlineStr"/>
    </row>
    <row r="14">
      <c r="A14" s="25" t="inlineStr">
        <is>
          <t>Statistiques</t>
        </is>
      </c>
      <c r="B14" s="26" t="inlineStr">
        <is>
          <t>/statistiques</t>
        </is>
      </c>
      <c r="C14" s="26" t="n">
        <v>1</v>
      </c>
      <c r="D14" s="26" t="n">
        <v>393</v>
      </c>
      <c r="E14" s="26" t="inlineStr">
        <is>
          <t>Statistiques transverses.</t>
        </is>
      </c>
      <c r="F14" s="27" t="inlineStr"/>
      <c r="G14" s="27" t="inlineStr"/>
      <c r="H14" s="27" t="inlineStr"/>
    </row>
    <row r="15">
      <c r="A15" s="28" t="inlineStr">
        <is>
          <t>Notifications</t>
        </is>
      </c>
      <c r="B15" s="29" t="inlineStr">
        <is>
          <t>/notifications</t>
        </is>
      </c>
      <c r="C15" s="29" t="n">
        <v>1</v>
      </c>
      <c r="D15" s="29" t="n">
        <v>289</v>
      </c>
      <c r="E15" s="29" t="inlineStr">
        <is>
          <t>Centre de notifications commun.</t>
        </is>
      </c>
      <c r="F15" s="27" t="inlineStr"/>
      <c r="G15" s="27" t="inlineStr"/>
      <c r="H15" s="27" t="inlineStr"/>
    </row>
    <row r="16">
      <c r="A16" s="25" t="inlineStr">
        <is>
          <t>Outils</t>
        </is>
      </c>
      <c r="B16" s="26" t="inlineStr">
        <is>
          <t>/outils</t>
        </is>
      </c>
      <c r="C16" s="26" t="n">
        <v>2</v>
      </c>
      <c r="D16" s="26" t="n">
        <v>1077</v>
      </c>
      <c r="E16" s="26" t="inlineStr">
        <is>
          <t>Outils internes.</t>
        </is>
      </c>
      <c r="F16" s="27" t="inlineStr"/>
      <c r="G16" s="27" t="inlineStr"/>
      <c r="H16" s="27" t="inlineStr"/>
    </row>
    <row r="17">
      <c r="A17" s="28" t="inlineStr">
        <is>
          <t>Test de niveau</t>
        </is>
      </c>
      <c r="B17" s="29" t="inlineStr">
        <is>
          <t>/test-niveau</t>
        </is>
      </c>
      <c r="C17" s="29" t="n">
        <v>1</v>
      </c>
      <c r="D17" s="29" t="n">
        <v>1087</v>
      </c>
      <c r="E17" s="29" t="inlineStr">
        <is>
          <t>Administration du test de niveau côté personnel.</t>
        </is>
      </c>
      <c r="F17" s="27" t="inlineStr"/>
      <c r="G17" s="27" t="inlineStr"/>
      <c r="H17" s="27" t="inlineStr"/>
    </row>
    <row r="18">
      <c r="A18" s="25" t="inlineStr">
        <is>
          <t>Traçabilité</t>
        </is>
      </c>
      <c r="B18" s="26" t="inlineStr">
        <is>
          <t>/actions</t>
        </is>
      </c>
      <c r="C18" s="26" t="n">
        <v>1</v>
      </c>
      <c r="D18" s="26" t="inlineStr">
        <is>
          <t>—</t>
        </is>
      </c>
      <c r="E18" s="26" t="inlineStr">
        <is>
          <t>Journal des actions du personnel.</t>
        </is>
      </c>
      <c r="F18" s="27" t="inlineStr"/>
      <c r="G18" s="27" t="inlineStr"/>
      <c r="H18" s="27" t="inlineStr"/>
    </row>
    <row r="19">
      <c r="A19" s="28" t="inlineStr">
        <is>
          <t>Portail d'accès</t>
        </is>
      </c>
      <c r="B19" s="29" t="inlineStr">
        <is>
          <t>/access</t>
        </is>
      </c>
      <c r="C19" s="29" t="n">
        <v>2</v>
      </c>
      <c r="D19" s="29" t="inlineStr">
        <is>
          <t>—</t>
        </is>
      </c>
      <c r="E19" s="29" t="inlineStr">
        <is>
          <t>Sas d'accès au formulaire de connexion du personnel.</t>
        </is>
      </c>
      <c r="F19" s="27" t="inlineStr"/>
      <c r="G19" s="27" t="inlineStr"/>
      <c r="H19" s="27" t="inlineStr"/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78" customWidth="1" min="3" max="3"/>
    <col width="46" customWidth="1" min="4" max="4"/>
    <col width="13" customWidth="1" min="5" max="5"/>
    <col width="11" customWidth="1" min="6" max="6"/>
    <col width="34" customWidth="1" min="7" max="7"/>
  </cols>
  <sheetData>
    <row r="1" ht="24" customHeight="1">
      <c r="A1" s="33" t="inlineStr">
        <is>
          <t>Circuits transverses</t>
        </is>
      </c>
    </row>
    <row r="2" ht="16" customHeight="1">
      <c r="A2" s="34" t="inlineStr">
        <is>
          <t>Ce que la cotation par écran sous-estime : un même besoin traverse plusieurs profils, et c'est le passage de relais qui coûte.</t>
        </is>
      </c>
    </row>
    <row r="4" ht="26" customHeight="1">
      <c r="A4" s="23" t="inlineStr">
        <is>
          <t>Circuit</t>
        </is>
      </c>
      <c r="B4" s="23" t="inlineStr">
        <is>
          <t>Profils traversés</t>
        </is>
      </c>
      <c r="C4" s="23" t="inlineStr">
        <is>
          <t>Ce qui se passe</t>
        </is>
      </c>
      <c r="D4" s="23" t="inlineStr">
        <is>
          <t>État</t>
        </is>
      </c>
      <c r="E4" s="24" t="inlineStr">
        <is>
          <t>Complexité</t>
        </is>
      </c>
      <c r="F4" s="24" t="inlineStr">
        <is>
          <t>Charge (j)</t>
        </is>
      </c>
      <c r="G4" s="24" t="inlineStr">
        <is>
          <t>Commentaire</t>
        </is>
      </c>
    </row>
    <row r="5" ht="46" customHeight="1">
      <c r="A5" s="28" t="inlineStr">
        <is>
          <t>Demande de transfert d'un apprenant</t>
        </is>
      </c>
      <c r="B5" s="29" t="inlineStr">
        <is>
          <t>Coach → Agent placement test → Onboarding ou Assistante présentiel</t>
        </is>
      </c>
      <c r="C5" s="29" t="inlineStr">
        <is>
          <t>Le coach signale un apprenant mal placé avec un motif ; l'agent placement test fait passer le niveau ; l'onboarding (classes en ligne) ou l'assistante du centre (présentiel) exécute le changement de classe. Le bouton de réaffectation reste fermé jusqu'au retour du test.</t>
        </is>
      </c>
      <c r="D5" s="29" t="inlineStr">
        <is>
          <t>Opérationnel. File partitionnée par canal.</t>
        </is>
      </c>
      <c r="E5" s="27" t="inlineStr"/>
      <c r="F5" s="27" t="inlineStr"/>
      <c r="G5" s="27" t="inlineStr"/>
    </row>
    <row r="6" ht="46" customHeight="1">
      <c r="A6" s="25" t="inlineStr">
        <is>
          <t>Test de niveau</t>
        </is>
      </c>
      <c r="B6" s="26" t="inlineStr">
        <is>
          <t>Site public ou Assistante commerciale → Agent placement test → tous les écrans de suivi</t>
        </is>
      </c>
      <c r="C6" s="26" t="inlineStr">
        <is>
          <t>Passage en ligne depuis le site, ou évaluation en présentiel saisie par l'agent. Correction des réponses orales, attribution du niveau, historique des passages conservé et affiché sur 7 espaces.</t>
        </is>
      </c>
      <c r="D6" s="26" t="inlineStr">
        <is>
          <t>Opérationnel.</t>
        </is>
      </c>
      <c r="E6" s="27" t="inlineStr"/>
      <c r="F6" s="27" t="inlineStr"/>
      <c r="G6" s="27" t="inlineStr"/>
    </row>
    <row r="7" ht="46" customHeight="1">
      <c r="A7" s="28" t="inlineStr">
        <is>
          <t>Observation de cours et catégorie de contrat</t>
        </is>
      </c>
      <c r="B7" s="29" t="inlineStr">
        <is>
          <t>Deputy → Superviseur global → Conseiller pédagogique → RH &amp; Paie</t>
        </is>
      </c>
      <c r="C7" s="29" t="inlineStr">
        <is>
          <t>Le deputy observe et note sur 5 critères ; le superviseur corrige et valide ; la note détermine la catégorie de contrat du coach, qui commande sa grille d'honoraires.</t>
        </is>
      </c>
      <c r="D7" s="29" t="inlineStr">
        <is>
          <t>Opérationnel.</t>
        </is>
      </c>
      <c r="E7" s="27" t="inlineStr"/>
      <c r="F7" s="27" t="inlineStr"/>
      <c r="G7" s="27" t="inlineStr"/>
    </row>
    <row r="8" ht="46" customHeight="1">
      <c r="A8" s="25" t="inlineStr">
        <is>
          <t>Échéancier mensuel et relances</t>
        </is>
      </c>
      <c r="B8" s="26" t="inlineStr">
        <is>
          <t>Assistante commerciale → Apprenant / Parent → Comptable</t>
        </is>
      </c>
      <c r="C8" s="26" t="inlineStr">
        <is>
          <t>Plan de paiement mensuel, génération automatique du mois suivant par tâche planifiée quotidienne, relances J-7 / J-3 / J-1 à l'apprenant et à l'assistante, paiement en ligne.</t>
        </is>
      </c>
      <c r="D8" s="26" t="inlineStr">
        <is>
          <t>Opérationnel.</t>
        </is>
      </c>
      <c r="E8" s="27" t="inlineStr"/>
      <c r="F8" s="27" t="inlineStr"/>
      <c r="G8" s="27" t="inlineStr"/>
    </row>
    <row r="9" ht="46" customHeight="1">
      <c r="A9" s="28" t="inlineStr">
        <is>
          <t>Honoraires des coachs</t>
        </is>
      </c>
      <c r="B9" s="29" t="inlineStr">
        <is>
          <t>Coach → Conseiller pédagogique → RH &amp; Paie → Comptable</t>
        </is>
      </c>
      <c r="C9" s="29" t="inlineStr">
        <is>
          <t>Séances réalisées valorisées sur la grille (grade, canal, niveau, durée), validées par le conseiller pédagogique, puis payées.</t>
        </is>
      </c>
      <c r="D9" s="29" t="inlineStr">
        <is>
          <t>Opérationnel.</t>
        </is>
      </c>
      <c r="E9" s="27" t="inlineStr"/>
      <c r="F9" s="27" t="inlineStr"/>
      <c r="G9" s="27" t="inlineStr"/>
    </row>
    <row r="10" ht="46" customHeight="1">
      <c r="A10" s="25" t="inlineStr">
        <is>
          <t>Entrée en formation (kick-off)</t>
        </is>
      </c>
      <c r="B10" s="26" t="inlineStr">
        <is>
          <t>Assistante commerciale → Assistante onboarding → Coach → Apprenant</t>
        </is>
      </c>
      <c r="C10" s="26" t="inlineStr">
        <is>
          <t>Conversion du dossier, création des accès, envoi du kick-off, affectation en classe, suivi des premières séances.</t>
        </is>
      </c>
      <c r="D10" s="26" t="inlineStr">
        <is>
          <t>Opérationnel.</t>
        </is>
      </c>
      <c r="E10" s="27" t="inlineStr"/>
      <c r="F10" s="27" t="inlineStr"/>
      <c r="G10" s="27" t="inlineStr"/>
    </row>
    <row r="11" ht="46" customHeight="1">
      <c r="A11" s="28" t="inlineStr">
        <is>
          <t>Migration en ligne ↔ présentiel</t>
        </is>
      </c>
      <c r="B11" s="29" t="inlineStr">
        <is>
          <t>Client → Assistante commerciale / Onboarding</t>
        </is>
      </c>
      <c r="C11" s="29" t="inlineStr">
        <is>
          <t>Changement de canal du programme avec ajustement de la mensualité au mois suivant.</t>
        </is>
      </c>
      <c r="D11" s="40" t="inlineStr">
        <is>
          <t>NON RÉALISÉ. Analysé le 28/09/2026 : 5 ruptures identifiées, 3 décisions en attente.</t>
        </is>
      </c>
      <c r="E11" s="27" t="inlineStr"/>
      <c r="F11" s="27" t="inlineStr"/>
      <c r="G11" s="2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  <col width="56" customWidth="1" min="4" max="4"/>
    <col width="13" customWidth="1" min="5" max="5"/>
    <col width="11" customWidth="1" min="6" max="6"/>
    <col width="34" customWidth="1" min="7" max="7"/>
  </cols>
  <sheetData>
    <row r="1" ht="24" customHeight="1">
      <c r="A1" s="33" t="inlineStr">
        <is>
          <t>Briques partagées</t>
        </is>
      </c>
    </row>
    <row r="2" ht="16" customHeight="1">
      <c r="A2" s="34" t="inlineStr">
        <is>
          <t>Composants et utilitaires mutualisés : chiffrés une fois, ils servent plusieurs profils. 46 composants et 32 utilitaires au total, les plus structurants ci-dessous.</t>
        </is>
      </c>
    </row>
    <row r="4" ht="26" customHeight="1">
      <c r="A4" s="23" t="inlineStr">
        <is>
          <t>Brique</t>
        </is>
      </c>
      <c r="B4" s="23" t="inlineStr">
        <is>
          <t>Type</t>
        </is>
      </c>
      <c r="C4" s="23" t="inlineStr">
        <is>
          <t>Sert à</t>
        </is>
      </c>
      <c r="D4" s="23" t="inlineStr">
        <is>
          <t>Profils concernés</t>
        </is>
      </c>
      <c r="E4" s="24" t="inlineStr">
        <is>
          <t>Complexité</t>
        </is>
      </c>
      <c r="F4" s="24" t="inlineStr">
        <is>
          <t>Charge (j)</t>
        </is>
      </c>
      <c r="G4" s="24" t="inlineStr">
        <is>
          <t>Commentaire</t>
        </is>
      </c>
    </row>
    <row r="5">
      <c r="A5" s="28" t="inlineStr">
        <is>
          <t>PlanningClasse</t>
        </is>
      </c>
      <c r="B5" s="29" t="inlineStr">
        <is>
          <t>Composant</t>
        </is>
      </c>
      <c r="C5" s="29" t="inlineStr">
        <is>
          <t>Emploi du temps hebdomadaire et séances d'une classe</t>
        </is>
      </c>
      <c r="D5" s="29" t="inlineStr">
        <is>
          <t>Superviseur, Deputy, Onboarding, PA</t>
        </is>
      </c>
      <c r="E5" s="27" t="inlineStr"/>
      <c r="F5" s="27" t="inlineStr"/>
      <c r="G5" s="27" t="inlineStr"/>
    </row>
    <row r="6">
      <c r="A6" s="25" t="inlineStr">
        <is>
          <t>HistoriqueTestsNiveau</t>
        </is>
      </c>
      <c r="B6" s="26" t="inlineStr">
        <is>
          <t>Composant</t>
        </is>
      </c>
      <c r="C6" s="26" t="inlineStr">
        <is>
          <t>Historique complet des tests de niveau d'un apprenant</t>
        </is>
      </c>
      <c r="D6" s="26" t="inlineStr">
        <is>
          <t>7 espaces</t>
        </is>
      </c>
      <c r="E6" s="27" t="inlineStr"/>
      <c r="F6" s="27" t="inlineStr"/>
      <c r="G6" s="27" t="inlineStr"/>
    </row>
    <row r="7">
      <c r="A7" s="28" t="inlineStr">
        <is>
          <t>DemandeTransfert</t>
        </is>
      </c>
      <c r="B7" s="29" t="inlineStr">
        <is>
          <t>Composant</t>
        </is>
      </c>
      <c r="C7" s="29" t="inlineStr">
        <is>
          <t>Demande de transfert et file des dossiers à réaffecter</t>
        </is>
      </c>
      <c r="D7" s="29" t="inlineStr">
        <is>
          <t>Coach, Placement, Onboarding, Commercial, PA</t>
        </is>
      </c>
      <c r="E7" s="27" t="inlineStr"/>
      <c r="F7" s="27" t="inlineStr"/>
      <c r="G7" s="27" t="inlineStr"/>
    </row>
    <row r="8">
      <c r="A8" s="25" t="inlineStr">
        <is>
          <t>FiltrePeriode</t>
        </is>
      </c>
      <c r="B8" s="26" t="inlineStr">
        <is>
          <t>Composant</t>
        </is>
      </c>
      <c r="C8" s="26" t="inlineStr">
        <is>
          <t>Filtrage par date et pagination</t>
        </is>
      </c>
      <c r="D8" s="26" t="inlineStr">
        <is>
          <t>Superviseur, Onboarding, PA</t>
        </is>
      </c>
      <c r="E8" s="27" t="inlineStr"/>
      <c r="F8" s="27" t="inlineStr"/>
      <c r="G8" s="27" t="inlineStr"/>
    </row>
    <row r="9">
      <c r="A9" s="28" t="inlineStr">
        <is>
          <t>EvolutionNiveauTests</t>
        </is>
      </c>
      <c r="B9" s="29" t="inlineStr">
        <is>
          <t>Composant</t>
        </is>
      </c>
      <c r="C9" s="29" t="inlineStr">
        <is>
          <t>Frise de progression de niveau</t>
        </is>
      </c>
      <c r="D9" s="29" t="inlineStr">
        <is>
          <t>7 espaces</t>
        </is>
      </c>
      <c r="E9" s="27" t="inlineStr"/>
      <c r="F9" s="27" t="inlineStr"/>
      <c r="G9" s="27" t="inlineStr"/>
    </row>
    <row r="10">
      <c r="A10" s="25" t="inlineStr">
        <is>
          <t>NiveauApprenant</t>
        </is>
      </c>
      <c r="B10" s="26" t="inlineStr">
        <is>
          <t>Composant</t>
        </is>
      </c>
      <c r="C10" s="26" t="inlineStr">
        <is>
          <t>Badge de niveau et ancien niveau</t>
        </is>
      </c>
      <c r="D10" s="26" t="inlineStr">
        <is>
          <t>Coach, Onboarding, Commercial</t>
        </is>
      </c>
      <c r="E10" s="27" t="inlineStr"/>
      <c r="F10" s="27" t="inlineStr"/>
      <c r="G10" s="27" t="inlineStr"/>
    </row>
    <row r="11">
      <c r="A11" s="28" t="inlineStr">
        <is>
          <t>AppreciationSeance</t>
        </is>
      </c>
      <c r="B11" s="29" t="inlineStr">
        <is>
          <t>Composant</t>
        </is>
      </c>
      <c r="C11" s="29" t="inlineStr">
        <is>
          <t>Appréciation d'une séance par l'apprenant</t>
        </is>
      </c>
      <c r="D11" s="29" t="inlineStr">
        <is>
          <t>Apprenant, Superviseur, PA</t>
        </is>
      </c>
      <c r="E11" s="27" t="inlineStr"/>
      <c r="F11" s="27" t="inlineStr"/>
      <c r="G11" s="27" t="inlineStr"/>
    </row>
    <row r="12">
      <c r="A12" s="25" t="inlineStr">
        <is>
          <t>NotificationsTab</t>
        </is>
      </c>
      <c r="B12" s="26" t="inlineStr">
        <is>
          <t>Composant</t>
        </is>
      </c>
      <c r="C12" s="26" t="inlineStr">
        <is>
          <t>Onglet notifications commun</t>
        </is>
      </c>
      <c r="D12" s="26" t="inlineStr">
        <is>
          <t>Tous les profils</t>
        </is>
      </c>
      <c r="E12" s="27" t="inlineStr"/>
      <c r="F12" s="27" t="inlineStr"/>
      <c r="G12" s="27" t="inlineStr"/>
    </row>
    <row r="13">
      <c r="A13" s="28" t="inlineStr">
        <is>
          <t>MonProfilModal</t>
        </is>
      </c>
      <c r="B13" s="29" t="inlineStr">
        <is>
          <t>Composant</t>
        </is>
      </c>
      <c r="C13" s="29" t="inlineStr">
        <is>
          <t>Fiche profil de l'utilisateur connecté</t>
        </is>
      </c>
      <c r="D13" s="29" t="inlineStr">
        <is>
          <t>Tous les profils</t>
        </is>
      </c>
      <c r="E13" s="27" t="inlineStr"/>
      <c r="F13" s="27" t="inlineStr"/>
      <c r="G13" s="27" t="inlineStr"/>
    </row>
    <row r="14">
      <c r="A14" s="25" t="inlineStr">
        <is>
          <t>fichePdfApprenant</t>
        </is>
      </c>
      <c r="B14" s="26" t="inlineStr">
        <is>
          <t>Utilitaire</t>
        </is>
      </c>
      <c r="C14" s="26" t="inlineStr">
        <is>
          <t>Fiche apprenant en PDF, charte commune</t>
        </is>
      </c>
      <c r="D14" s="26" t="inlineStr">
        <is>
          <t>Commercial, PA, Onboarding, Coach, Superviseur, Admin, Super Admin</t>
        </is>
      </c>
      <c r="E14" s="27" t="inlineStr"/>
      <c r="F14" s="27" t="inlineStr"/>
      <c r="G14" s="27" t="inlineStr"/>
    </row>
    <row r="15">
      <c r="A15" s="28" t="inlineStr">
        <is>
          <t>genererPDF</t>
        </is>
      </c>
      <c r="B15" s="29" t="inlineStr">
        <is>
          <t>Utilitaire</t>
        </is>
      </c>
      <c r="C15" s="29" t="inlineStr">
        <is>
          <t>Gabarit PDF BET : en-tête, bandeau, pied de page</t>
        </is>
      </c>
      <c r="D15" s="29" t="inlineStr">
        <is>
          <t>Tous les exports</t>
        </is>
      </c>
      <c r="E15" s="27" t="inlineStr"/>
      <c r="F15" s="27" t="inlineStr"/>
      <c r="G15" s="27" t="inlineStr"/>
    </row>
    <row r="16">
      <c r="A16" s="25" t="inlineStr">
        <is>
          <t>exporterExcelStyle</t>
        </is>
      </c>
      <c r="B16" s="26" t="inlineStr">
        <is>
          <t>Utilitaire</t>
        </is>
      </c>
      <c r="C16" s="26" t="inlineStr">
        <is>
          <t>Exports Excel mis en forme</t>
        </is>
      </c>
      <c r="D16" s="26" t="inlineStr">
        <is>
          <t>La plupart des profils</t>
        </is>
      </c>
      <c r="E16" s="27" t="inlineStr"/>
      <c r="F16" s="27" t="inlineStr"/>
      <c r="G16" s="27" t="inlineStr"/>
    </row>
    <row r="17">
      <c r="A17" s="28" t="inlineStr">
        <is>
          <t>urlDocument</t>
        </is>
      </c>
      <c r="B17" s="29" t="inlineStr">
        <is>
          <t>Utilitaire</t>
        </is>
      </c>
      <c r="C17" s="29" t="inlineStr">
        <is>
          <t>Lecture sécurisée des documents stockés</t>
        </is>
      </c>
      <c r="D17" s="29" t="inlineStr">
        <is>
          <t>Tous les écrans avec fichiers</t>
        </is>
      </c>
      <c r="E17" s="27" t="inlineStr"/>
      <c r="F17" s="27" t="inlineStr"/>
      <c r="G17" s="27" t="inlineStr"/>
    </row>
    <row r="18">
      <c r="A18" s="25" t="inlineStr">
        <is>
          <t>categorieCoach</t>
        </is>
      </c>
      <c r="B18" s="26" t="inlineStr">
        <is>
          <t>Utilitaire</t>
        </is>
      </c>
      <c r="C18" s="26" t="inlineStr">
        <is>
          <t>Barème d'appraisal et catégorie de contrat</t>
        </is>
      </c>
      <c r="D18" s="26" t="inlineStr">
        <is>
          <t>Superviseur, PA, RH</t>
        </is>
      </c>
      <c r="E18" s="27" t="inlineStr"/>
      <c r="F18" s="27" t="inlineStr"/>
      <c r="G18" s="27" t="inlineStr"/>
    </row>
    <row r="19">
      <c r="A19" s="28" t="inlineStr">
        <is>
          <t>criteresObservation</t>
        </is>
      </c>
      <c r="B19" s="29" t="inlineStr">
        <is>
          <t>Utilitaire</t>
        </is>
      </c>
      <c r="C19" s="29" t="inlineStr">
        <is>
          <t>Libellés et barème des 5 critères d'observation</t>
        </is>
      </c>
      <c r="D19" s="29" t="inlineStr">
        <is>
          <t>Superviseur, Deputy, PA</t>
        </is>
      </c>
      <c r="E19" s="27" t="inlineStr"/>
      <c r="F19" s="27" t="inlineStr"/>
      <c r="G19" s="27" t="inlineStr"/>
    </row>
    <row r="20">
      <c r="A20" s="25" t="inlineStr">
        <is>
          <t>inactivite</t>
        </is>
      </c>
      <c r="B20" s="26" t="inlineStr">
        <is>
          <t>Utilitaire</t>
        </is>
      </c>
      <c r="C20" s="26" t="inlineStr">
        <is>
          <t>Déconnexion automatique après inactivité</t>
        </is>
      </c>
      <c r="D20" s="26" t="inlineStr">
        <is>
          <t>Tous les profils</t>
        </is>
      </c>
      <c r="E20" s="27" t="inlineStr"/>
      <c r="F20" s="27" t="inlineStr"/>
      <c r="G20" s="27" t="inlineStr"/>
    </row>
    <row r="21">
      <c r="A21" s="28" t="inlineStr">
        <is>
          <t>classePrivee</t>
        </is>
      </c>
      <c r="B21" s="29" t="inlineStr">
        <is>
          <t>Utilitaire</t>
        </is>
      </c>
      <c r="C21" s="29" t="inlineStr">
        <is>
          <t>Distinction classe privée / classe de groupe</t>
        </is>
      </c>
      <c r="D21" s="29" t="inlineStr">
        <is>
          <t>PA, Onboarding, Commercial</t>
        </is>
      </c>
      <c r="E21" s="27" t="inlineStr"/>
      <c r="F21" s="27" t="inlineStr"/>
      <c r="G21" s="27" t="inlineStr"/>
    </row>
  </sheetData>
  <autoFilter ref="A4:G2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Binnie's English Training</dc:creator>
  <dc:title xmlns:dc="http://purl.org/dc/elements/1.1/">Inventaire des tableaux de bord BET</dc:title>
  <dc:subject xmlns:dc="http://purl.org/dc/elements/1.1/">Profils, espaces, onglets et fonctionnalités — relevé du 28 septembre 2026</dc:subject>
  <dcterms:created xmlns:dcterms="http://purl.org/dc/terms/" xmlns:xsi="http://www.w3.org/2001/XMLSchema-instance" xsi:type="dcterms:W3CDTF">2026-09-28T21:42:35Z</dcterms:created>
  <dcterms:modified xmlns:dcterms="http://purl.org/dc/terms/" xmlns:xsi="http://www.w3.org/2001/XMLSchema-instance" xsi:type="dcterms:W3CDTF">2026-09-28T21:42:36Z</dcterms:modified>
</cp:coreProperties>
</file>