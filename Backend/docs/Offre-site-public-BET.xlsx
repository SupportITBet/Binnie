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 — Cotation" sheetId="1" state="visible" r:id="rId1"/>
    <sheet xmlns:r="http://schemas.openxmlformats.org/officeDocument/2006/relationships" name="Pages" sheetId="2" state="visible" r:id="rId2"/>
    <sheet xmlns:r="http://schemas.openxmlformats.org/officeDocument/2006/relationships" name="Parcours guidés" sheetId="3" state="visible" r:id="rId3"/>
    <sheet xmlns:r="http://schemas.openxmlformats.org/officeDocument/2006/relationships" name="Fonctionnalités" sheetId="4" state="visible" r:id="rId4"/>
    <sheet xmlns:r="http://schemas.openxmlformats.org/officeDocument/2006/relationships" name="Intégrations" sheetId="5" state="visible" r:id="rId5"/>
  </sheets>
  <definedNames>
    <definedName name="_xlnm._FilterDatabase" localSheetId="1" hidden="1">'Pages'!$A$4:$G$28</definedName>
    <definedName name="_xlnm._FilterDatabase" localSheetId="3" hidden="1">'Fonctionnalités'!$A$4:$F$29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3F3000"/>
      <sz val="9"/>
    </font>
    <font>
      <name val="Calibri"/>
      <b val="1"/>
      <color rgb="0012161D"/>
      <sz val="9.5"/>
    </font>
    <font>
      <name val="Calibri"/>
      <b val="1"/>
      <i val="1"/>
      <color rgb="00FFFFFF"/>
      <sz val="9.5"/>
    </font>
    <font>
      <name val="Calibri"/>
      <i val="1"/>
      <color rgb="005C6573"/>
      <sz val="9"/>
    </font>
    <font>
      <name val="Calibri"/>
      <color rgb="0012161D"/>
      <sz val="9.5"/>
    </font>
    <font>
      <name val="Calibri"/>
      <b val="1"/>
      <color rgb="0012161D"/>
      <sz val="10"/>
    </font>
    <font>
      <name val="Calibri"/>
      <b val="1"/>
      <color rgb="001B3080"/>
      <sz val="10"/>
    </font>
    <font>
      <name val="Calibri"/>
      <b val="1"/>
      <color rgb="00AE2128"/>
      <sz val="9.5"/>
    </font>
    <font>
      <name val="Calibri"/>
      <b val="1"/>
      <color rgb="00FFFFFF"/>
      <sz val="12"/>
    </font>
    <font>
      <name val="Calibri"/>
      <color rgb="005C6573"/>
      <sz val="9"/>
    </font>
    <font>
      <name val="Calibri"/>
      <b val="1"/>
      <color rgb="001B3080"/>
      <sz val="15"/>
    </font>
    <font>
      <name val="Calibri"/>
      <color rgb="005C6573"/>
      <sz val="9.5"/>
    </font>
    <font>
      <name val="Calibri"/>
      <b val="1"/>
      <color rgb="00FFFFFF"/>
      <sz val="9"/>
    </font>
    <font>
      <name val="Calibri"/>
      <b val="1"/>
      <color rgb="008A5A00"/>
      <sz val="9"/>
    </font>
    <font>
      <name val="Calibri"/>
      <b val="1"/>
      <color rgb="001B3080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F9000"/>
      </patternFill>
    </fill>
    <fill>
      <patternFill patternType="solid">
        <fgColor rgb="00D9D9D9"/>
      </patternFill>
    </fill>
    <fill>
      <patternFill patternType="solid">
        <fgColor rgb="00FFF7E6"/>
      </patternFill>
    </fill>
    <fill>
      <patternFill patternType="solid">
        <fgColor rgb="00EDEDED"/>
      </patternFill>
    </fill>
    <fill>
      <patternFill patternType="solid">
        <fgColor rgb="001B3080"/>
      </patternFill>
    </fill>
    <fill>
      <patternFill patternType="solid">
        <fgColor rgb="00F2F4FA"/>
      </patternFill>
    </fill>
  </fills>
  <borders count="2">
    <border>
      <left/>
      <right/>
      <top/>
      <bottom/>
      <diagonal/>
    </border>
    <border>
      <left style="thin">
        <color rgb="00D5DBE6"/>
      </left>
      <right style="thin">
        <color rgb="00D5DBE6"/>
      </right>
      <top style="thin">
        <color rgb="00D5DBE6"/>
      </top>
      <bottom style="thin">
        <color rgb="00D5DBE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 indent="1"/>
    </xf>
    <xf numFmtId="0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/>
    </xf>
    <xf numFmtId="0" fontId="9" fillId="0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164" fontId="10" fillId="2" borderId="0" applyAlignment="1" pivotButton="0" quotePrefix="0" xfId="0">
      <alignment horizontal="right" vertical="center"/>
    </xf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13" fillId="0" borderId="0" pivotButton="0" quotePrefix="0" xfId="0"/>
    <xf numFmtId="0" fontId="14" fillId="7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9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88" customWidth="1" min="2" max="2"/>
    <col width="13" customWidth="1" min="3" max="3"/>
    <col width="17" customWidth="1" min="4" max="4"/>
    <col width="17" customWidth="1" min="5" max="5"/>
  </cols>
  <sheetData>
    <row r="2" ht="30" customHeight="1">
      <c r="A2" s="1" t="inlineStr">
        <is>
          <t>OFFRE — SITE PUBLIC BET (binniesenglish.net)</t>
        </is>
      </c>
    </row>
    <row r="3" ht="18" customHeight="1">
      <c r="A3" s="2" t="inlineStr">
        <is>
          <t>Quantités relevées dans le code source le 28/09/2026 — voir les feuilles d'inventaire. Prix unitaires à renseigner : tous les totaux sont calculés.</t>
        </is>
      </c>
    </row>
    <row r="5" ht="20" customHeight="1">
      <c r="A5" s="3" t="inlineStr">
        <is>
          <t>Prestation</t>
        </is>
      </c>
      <c r="B5" s="3" t="inlineStr">
        <is>
          <t>Détail / Description</t>
        </is>
      </c>
      <c r="C5" s="4" t="inlineStr">
        <is>
          <t>Qté</t>
        </is>
      </c>
      <c r="D5" s="4" t="inlineStr">
        <is>
          <t>Prix unitaire (FCFA)</t>
        </is>
      </c>
      <c r="E5" s="4" t="inlineStr">
        <is>
          <t>Total (FCFA)</t>
        </is>
      </c>
    </row>
    <row r="6" ht="18" customHeight="1">
      <c r="A6" s="5" t="inlineStr">
        <is>
          <t>— LOT A — CADRAGE, DESIGN ET SOCLE TECHNIQUE —</t>
        </is>
      </c>
    </row>
    <row r="7" ht="26" customHeight="1">
      <c r="A7" s="6" t="inlineStr">
        <is>
          <t>Cadrage &amp; direction artistique</t>
        </is>
      </c>
      <c r="B7" s="7" t="inlineStr">
        <is>
          <t>Réunion de lancement, brief, arborescence, validation du cahier des charges</t>
        </is>
      </c>
      <c r="C7" s="8" t="inlineStr">
        <is>
          <t>1 forfait</t>
        </is>
      </c>
      <c r="D7" s="9" t="n"/>
      <c r="E7" s="10">
        <f>IF(D7="","",1*D7)</f>
        <v/>
      </c>
    </row>
    <row r="8" ht="26" customHeight="1">
      <c r="A8" s="6" t="inlineStr">
        <is>
          <t>Maquettage UX/UI</t>
        </is>
      </c>
      <c r="B8" s="7" t="inlineStr">
        <is>
          <t>Maquettes haute fidélité de l'ensemble des écrans, cycles de révisions inclus</t>
        </is>
      </c>
      <c r="C8" s="8" t="inlineStr">
        <is>
          <t>24 pages</t>
        </is>
      </c>
      <c r="D8" s="9" t="n"/>
      <c r="E8" s="10">
        <f>IF(D8="","",24*D8)</f>
        <v/>
      </c>
    </row>
    <row r="9" ht="26" customHeight="1">
      <c r="A9" s="6" t="inlineStr">
        <is>
          <t>Socle React &amp; routage</t>
        </is>
      </c>
      <c r="B9" s="7" t="inlineStr">
        <is>
          <t>Application React, routage de 24 adresses, chargement différé page par page, remontée en haut d'écran</t>
        </is>
      </c>
      <c r="C9" s="8" t="inlineStr">
        <is>
          <t>1 forfait</t>
        </is>
      </c>
      <c r="D9" s="9" t="n"/>
      <c r="E9" s="10">
        <f>IF(D9="","",1*D9)</f>
        <v/>
      </c>
    </row>
    <row r="10" ht="26" customHeight="1">
      <c r="A10" s="6" t="inlineStr">
        <is>
          <t>Barre de navigation &amp; pied de page</t>
        </is>
      </c>
      <c r="B10" s="7" t="inlineStr">
        <is>
          <t>Navigation à 9 entrées hébergeant les quatre fenêtres d'inscription, recherche catalogue, pied de page et newsletter</t>
        </is>
      </c>
      <c r="C10" s="8" t="inlineStr">
        <is>
          <t>1 forfait</t>
        </is>
      </c>
      <c r="D10" s="9" t="n"/>
      <c r="E10" s="10">
        <f>IF(D10="","",1*D10)</f>
        <v/>
      </c>
    </row>
    <row r="11" ht="26" customHeight="1">
      <c r="A11" s="6" t="inlineStr">
        <is>
          <t>Site bilingue FR / EN</t>
        </is>
      </c>
      <c r="B11" s="7" t="inlineStr">
        <is>
          <t>Traduction de l'ensemble des écrans et bascule depuis la barre de navigation</t>
        </is>
      </c>
      <c r="C11" s="8" t="inlineStr">
        <is>
          <t>1 forfait</t>
        </is>
      </c>
      <c r="D11" s="9" t="n"/>
      <c r="E11" s="10">
        <f>IF(D11="","",1*D11)</f>
        <v/>
      </c>
    </row>
    <row r="12" ht="26" customHeight="1">
      <c r="A12" s="6" t="inlineStr">
        <is>
          <t>Responsive mobile-first</t>
        </is>
      </c>
      <c r="B12" s="7" t="inlineStr">
        <is>
          <t>Adaptation de tous les écrans aux mobiles, tablettes et grands écrans</t>
        </is>
      </c>
      <c r="C12" s="8" t="inlineStr">
        <is>
          <t>1 forfait</t>
        </is>
      </c>
      <c r="D12" s="9" t="n"/>
      <c r="E12" s="10">
        <f>IF(D12="","",1*D12)</f>
        <v/>
      </c>
    </row>
    <row r="13">
      <c r="A13" s="11" t="inlineStr">
        <is>
          <t>SOUS-TOTAL LOT A</t>
        </is>
      </c>
      <c r="E13" s="12">
        <f>SUM(E7:E12)</f>
        <v/>
      </c>
    </row>
    <row r="15" ht="18" customHeight="1">
      <c r="A15" s="5" t="inlineStr">
        <is>
          <t>— LOT B — PAGES DE CONTENU —</t>
        </is>
      </c>
    </row>
    <row r="16" ht="26" customHeight="1">
      <c r="A16" s="6" t="inlineStr">
        <is>
          <t>Pages éditoriales</t>
        </is>
      </c>
      <c r="B16" s="7" t="inlineStr">
        <is>
          <t>Accueil, À propos, FAQ, Contact, Témoignages, Blog (liste et article), BET for Business, Boutique</t>
        </is>
      </c>
      <c r="C16" s="8" t="inlineStr">
        <is>
          <t>9 pages</t>
        </is>
      </c>
      <c r="D16" s="9" t="n"/>
      <c r="E16" s="10">
        <f>IF(D16="","",9*D16)</f>
        <v/>
      </c>
    </row>
    <row r="17" ht="26" customHeight="1">
      <c r="A17" s="6" t="inlineStr">
        <is>
          <t>Carrousel et bandeaux administrables</t>
        </is>
      </c>
      <c r="B17" s="7" t="inlineStr">
        <is>
          <t>Carrousel d'accueil et bandeau déroulant, durée d'affichage réglable par photo, pilotés depuis le back-office</t>
        </is>
      </c>
      <c r="C17" s="8" t="inlineStr">
        <is>
          <t>1 forfait</t>
        </is>
      </c>
      <c r="D17" s="9" t="n"/>
      <c r="E17" s="10">
        <f>IF(D17="","",1*D17)</f>
        <v/>
      </c>
    </row>
    <row r="18" ht="26" customHeight="1">
      <c r="A18" s="6" t="inlineStr">
        <is>
          <t>Blog &amp; témoignages</t>
        </is>
      </c>
      <c r="B18" s="7" t="inlineStr">
        <is>
          <t>Liste, article, filtres et recherche, dépôt d'un témoignage depuis l'espace apprenant</t>
        </is>
      </c>
      <c r="C18" s="8" t="inlineStr">
        <is>
          <t>1 forfait</t>
        </is>
      </c>
      <c r="D18" s="9" t="n"/>
      <c r="E18" s="10">
        <f>IF(D18="","",1*D18)</f>
        <v/>
      </c>
    </row>
    <row r="19" ht="26" customHeight="1">
      <c r="A19" s="6" t="inlineStr">
        <is>
          <t>Boutique en ligne</t>
        </is>
      </c>
      <c r="B19" s="7" t="inlineStr">
        <is>
          <t>Produits actifs, panier, favoris, commandes</t>
        </is>
      </c>
      <c r="C19" s="8" t="inlineStr">
        <is>
          <t>1 forfait</t>
        </is>
      </c>
      <c r="D19" s="9" t="n"/>
      <c r="E19" s="10">
        <f>IF(D19="","",1*D19)</f>
        <v/>
      </c>
    </row>
    <row r="20">
      <c r="A20" s="11" t="inlineStr">
        <is>
          <t>SOUS-TOTAL LOT B</t>
        </is>
      </c>
      <c r="E20" s="12">
        <f>SUM(E16:E19)</f>
        <v/>
      </c>
    </row>
    <row r="22" ht="18" customHeight="1">
      <c r="A22" s="5" t="inlineStr">
        <is>
          <t>— LOT C — FICHES DU CATALOGUE —</t>
        </is>
      </c>
    </row>
    <row r="23" ht="26" customHeight="1">
      <c r="A23" s="6" t="inlineStr">
        <is>
          <t>Gabarits de fiches dynamiques</t>
        </is>
      </c>
      <c r="B23" s="7" t="inlineStr">
        <is>
          <t>Format de cours, certification, centre, service — contenu, formules, tarifs, avis, codes promo, accès à l'inscription</t>
        </is>
      </c>
      <c r="C23" s="8" t="inlineStr">
        <is>
          <t>4 gabarits</t>
        </is>
      </c>
      <c r="D23" s="9" t="n"/>
      <c r="E23" s="10">
        <f>IF(D23="","",4*D23)</f>
        <v/>
      </c>
    </row>
    <row r="24" ht="26" customHeight="1">
      <c r="A24" s="6" t="inlineStr">
        <is>
          <t>Familles de catalogue présentées</t>
        </is>
      </c>
      <c r="B24" s="7" t="inlineStr">
        <is>
          <t>3 formats de cours, 3 certifications, 6 centres, 4 services</t>
        </is>
      </c>
      <c r="C24" s="8" t="inlineStr">
        <is>
          <t>4 familles</t>
        </is>
      </c>
      <c r="D24" s="9" t="n"/>
      <c r="E24" s="10">
        <f>IF(D24="","",4*D24)</f>
        <v/>
      </c>
    </row>
    <row r="25" ht="26" customHeight="1">
      <c r="A25" s="6" t="inlineStr">
        <is>
          <t>Avis et notation</t>
        </is>
      </c>
      <c r="B25" s="7" t="inlineStr">
        <is>
          <t>Dépôt et affichage des avis sur les fiches de cours et de certification</t>
        </is>
      </c>
      <c r="C25" s="8" t="inlineStr">
        <is>
          <t>1 forfait</t>
        </is>
      </c>
      <c r="D25" s="9" t="n"/>
      <c r="E25" s="10">
        <f>IF(D25="","",1*D25)</f>
        <v/>
      </c>
    </row>
    <row r="26">
      <c r="A26" s="11" t="inlineStr">
        <is>
          <t>SOUS-TOTAL LOT C</t>
        </is>
      </c>
      <c r="E26" s="12">
        <f>SUM(E23:E25)</f>
        <v/>
      </c>
    </row>
    <row r="28" ht="18" customHeight="1">
      <c r="A28" s="5" t="inlineStr">
        <is>
          <t>— LOT D — PARCOURS GUIDÉS D'INSCRIPTION —</t>
        </is>
      </c>
    </row>
    <row r="29" ht="26" customHeight="1">
      <c r="A29" s="6" t="inlineStr">
        <is>
          <t>Parcours d'inscription</t>
        </is>
      </c>
      <c r="B29" s="7" t="inlineStr">
        <is>
          <t>Adulte (11 états, chemin qui se dédouble), enfant (6 étapes), entreprise (3 étapes), centres en ligne, tunnel linéaire (5 étapes)</t>
        </is>
      </c>
      <c r="C29" s="8" t="inlineStr">
        <is>
          <t>5 parcours</t>
        </is>
      </c>
      <c r="D29" s="9" t="n"/>
      <c r="E29" s="10">
        <f>IF(D29="","",5*D29)</f>
        <v/>
      </c>
    </row>
    <row r="30" ht="26" customHeight="1">
      <c r="A30" s="6" t="inlineStr">
        <is>
          <t>Reprise de parcours interrompu</t>
        </is>
      </c>
      <c r="B30" s="7" t="inlineStr">
        <is>
          <t>La progression est conservée : un visiteur revenu retrouve son parcours là où il l'avait laissé</t>
        </is>
      </c>
      <c r="C30" s="8" t="inlineStr">
        <is>
          <t>1 forfait</t>
        </is>
      </c>
      <c r="D30" s="9" t="n"/>
      <c r="E30" s="10">
        <f>IF(D30="","",1*D30)</f>
        <v/>
      </c>
    </row>
    <row r="31" ht="26" customHeight="1">
      <c r="A31" s="6" t="inlineStr">
        <is>
          <t>Choix de l'assistante &amp; des centres</t>
        </is>
      </c>
      <c r="B31" s="7" t="inlineStr">
        <is>
          <t>Assistantes réellement disponibles avec leur photo, centres triés par distance depuis la ville du visiteur, saisie d'adresse pour le domicile</t>
        </is>
      </c>
      <c r="C31" s="8" t="inlineStr">
        <is>
          <t>1 forfait</t>
        </is>
      </c>
      <c r="D31" s="9" t="n"/>
      <c r="E31" s="10">
        <f>IF(D31="","",1*D31)</f>
        <v/>
      </c>
    </row>
    <row r="32" ht="26" customHeight="1">
      <c r="A32" s="6" t="inlineStr">
        <is>
          <t>Formulaires du site</t>
        </is>
      </c>
      <c r="B32" s="7" t="inlineStr">
        <is>
          <t>Contact, audit gratuit, campagne, newsletter, avis, témoignage, inscriptions…</t>
        </is>
      </c>
      <c r="C32" s="8" t="inlineStr">
        <is>
          <t>16 formulaires</t>
        </is>
      </c>
      <c r="D32" s="9" t="n"/>
      <c r="E32" s="10">
        <f>IF(D32="","",16*D32)</f>
        <v/>
      </c>
    </row>
    <row r="33">
      <c r="A33" s="11" t="inlineStr">
        <is>
          <t>SOUS-TOTAL LOT D</t>
        </is>
      </c>
      <c r="E33" s="12">
        <f>SUM(E29:E32)</f>
        <v/>
      </c>
    </row>
    <row r="35" ht="18" customHeight="1">
      <c r="A35" s="5" t="inlineStr">
        <is>
          <t>— LOT E — TEST DE NIVEAU EN LIGNE —</t>
        </is>
      </c>
    </row>
    <row r="36" ht="26" customHeight="1">
      <c r="A36" s="6" t="inlineStr">
        <is>
          <t>Test de niveau gratuit</t>
        </is>
      </c>
      <c r="B36" s="7" t="inlineStr">
        <is>
          <t>L'écran le plus lourd du site (2 973 lignes) : 6 écrans successifs, questionnaire chronométré A1 à C2, épreuve orale enregistrée au microphone, expression écrite, résultat CECRL</t>
        </is>
      </c>
      <c r="C36" s="8" t="inlineStr">
        <is>
          <t>1 forfait</t>
        </is>
      </c>
      <c r="D36" s="9" t="n"/>
      <c r="E36" s="10">
        <f>IF(D36="","",1*D36)</f>
        <v/>
      </c>
    </row>
    <row r="37" ht="26" customHeight="1">
      <c r="A37" s="6" t="inlineStr">
        <is>
          <t>Sauvegarde continue de l'avancement</t>
        </is>
      </c>
      <c r="B37" s="7" t="inlineStr">
        <is>
          <t>Chaque réponse est enregistrée sur le serveur : une coupure de connexion ne fait pas perdre le test</t>
        </is>
      </c>
      <c r="C37" s="8" t="inlineStr">
        <is>
          <t>1 forfait</t>
        </is>
      </c>
      <c r="D37" s="9" t="n"/>
      <c r="E37" s="10">
        <f>IF(D37="","",1*D37)</f>
        <v/>
      </c>
    </row>
    <row r="38" ht="26" customHeight="1">
      <c r="A38" s="6" t="inlineStr">
        <is>
          <t>Enregistrement et envoi audio</t>
        </is>
      </c>
      <c r="B38" s="7" t="inlineStr">
        <is>
          <t>Capture microphone, envoi et stockage des enregistrements de l'épreuve orale</t>
        </is>
      </c>
      <c r="C38" s="8" t="inlineStr">
        <is>
          <t>1 forfait</t>
        </is>
      </c>
      <c r="D38" s="9" t="n"/>
      <c r="E38" s="10">
        <f>IF(D38="","",1*D38)</f>
        <v/>
      </c>
    </row>
    <row r="39" ht="26" customHeight="1">
      <c r="A39" s="6" t="inlineStr">
        <is>
          <t>Lien pré-rempli &amp; profil verrouillé</t>
        </is>
      </c>
      <c r="B39" s="7" t="inlineStr">
        <is>
          <t>Accès au test depuis un lien transmis par l'agent, sans connexion, avec profil déjà renseigné</t>
        </is>
      </c>
      <c r="C39" s="8" t="inlineStr">
        <is>
          <t>1 forfait</t>
        </is>
      </c>
      <c r="D39" s="9" t="n"/>
      <c r="E39" s="10">
        <f>IF(D39="","",1*D39)</f>
        <v/>
      </c>
    </row>
    <row r="40">
      <c r="A40" s="11" t="inlineStr">
        <is>
          <t>SOUS-TOTAL LOT E</t>
        </is>
      </c>
      <c r="E40" s="12">
        <f>SUM(E36:E39)</f>
        <v/>
      </c>
    </row>
    <row r="42" ht="18" customHeight="1">
      <c r="A42" s="5" t="inlineStr">
        <is>
          <t>— LOT F — COMPTE, ESPACE PERSONNEL ET PAIEMENT —</t>
        </is>
      </c>
    </row>
    <row r="43" ht="26" customHeight="1">
      <c r="A43" s="6" t="inlineStr">
        <is>
          <t>Comptes &amp; connexion</t>
        </is>
      </c>
      <c r="B43" s="7" t="inlineStr">
        <is>
          <t>Mot de passe ou compte Google, mot de passe oublié, renouvellement par courriel, bandeau de session active</t>
        </is>
      </c>
      <c r="C43" s="8" t="inlineStr">
        <is>
          <t>1 forfait</t>
        </is>
      </c>
      <c r="D43" s="9" t="n"/>
      <c r="E43" s="10">
        <f>IF(D43="","",1*D43)</f>
        <v/>
      </c>
    </row>
    <row r="44" ht="26" customHeight="1">
      <c r="A44" s="6" t="inlineStr">
        <is>
          <t>Espace personnel</t>
        </is>
      </c>
      <c r="B44" s="7" t="inlineStr">
        <is>
          <t>Deux visages selon l'état du visiteur : prospect avant inscription, apprenant après</t>
        </is>
      </c>
      <c r="C44" s="8" t="inlineStr">
        <is>
          <t>1 forfait</t>
        </is>
      </c>
      <c r="D44" s="9" t="n"/>
      <c r="E44" s="10">
        <f>IF(D44="","",1*D44)</f>
        <v/>
      </c>
    </row>
    <row r="45" ht="26" customHeight="1">
      <c r="A45" s="6" t="inlineStr">
        <is>
          <t>Paiement en ligne</t>
        </is>
      </c>
      <c r="B45" s="7" t="inlineStr">
        <is>
          <t>Mobile money et carte bancaire, retour de transaction, reçu PDF téléchargeable, reprise d'un paiement interrompu</t>
        </is>
      </c>
      <c r="C45" s="8" t="inlineStr">
        <is>
          <t>1 forfait</t>
        </is>
      </c>
      <c r="D45" s="9" t="n"/>
      <c r="E45" s="10">
        <f>IF(D45="","",1*D45)</f>
        <v/>
      </c>
    </row>
    <row r="46">
      <c r="A46" s="11" t="inlineStr">
        <is>
          <t>SOUS-TOTAL LOT F</t>
        </is>
      </c>
      <c r="E46" s="12">
        <f>SUM(E43:E45)</f>
        <v/>
      </c>
    </row>
    <row r="48" ht="18" customHeight="1">
      <c r="A48" s="5" t="inlineStr">
        <is>
          <t>— LOT G — ACQUISITION ET CAMPAGNES —</t>
        </is>
      </c>
    </row>
    <row r="49" ht="26" customHeight="1">
      <c r="A49" s="6" t="inlineStr">
        <is>
          <t>Pages de campagne</t>
        </is>
      </c>
      <c r="B49" s="7" t="inlineStr">
        <is>
          <t>Formulaire ouvert par QR code à adresse courte, audit gratuit entreprise, page de remerciement</t>
        </is>
      </c>
      <c r="C49" s="8" t="inlineStr">
        <is>
          <t>3 pages</t>
        </is>
      </c>
      <c r="D49" s="9" t="n"/>
      <c r="E49" s="10">
        <f>IF(D49="","",3*D49)</f>
        <v/>
      </c>
    </row>
    <row r="50" ht="26" customHeight="1">
      <c r="A50" s="6" t="inlineStr">
        <is>
          <t>Codes promo &amp; promotions</t>
        </is>
      </c>
      <c r="B50" s="7" t="inlineStr">
        <is>
          <t>Saisie et validation serveur sur les fiches et les parcours, bandeau de promotions actives</t>
        </is>
      </c>
      <c r="C50" s="8" t="inlineStr">
        <is>
          <t>1 forfait</t>
        </is>
      </c>
      <c r="D50" s="9" t="n"/>
      <c r="E50" s="10">
        <f>IF(D50="","",1*D50)</f>
        <v/>
      </c>
    </row>
    <row r="51" ht="26" customHeight="1">
      <c r="A51" s="6" t="inlineStr">
        <is>
          <t>Newsletter</t>
        </is>
      </c>
      <c r="B51" s="7" t="inlineStr">
        <is>
          <t>Inscription depuis le pied de page et le blog, désinscription servie par le serveur</t>
        </is>
      </c>
      <c r="C51" s="8" t="inlineStr">
        <is>
          <t>1 forfait</t>
        </is>
      </c>
      <c r="D51" s="9" t="n"/>
      <c r="E51" s="10">
        <f>IF(D51="","",1*D51)</f>
        <v/>
      </c>
    </row>
    <row r="52" ht="26" customHeight="1">
      <c r="A52" s="6" t="inlineStr">
        <is>
          <t>Catalogue PDF</t>
        </is>
      </c>
      <c r="B52" s="7" t="inlineStr">
        <is>
          <t>Bandeau de téléchargement du catalogue BET</t>
        </is>
      </c>
      <c r="C52" s="8" t="inlineStr">
        <is>
          <t>1 forfait</t>
        </is>
      </c>
      <c r="D52" s="9" t="n"/>
      <c r="E52" s="10">
        <f>IF(D52="","",1*D52)</f>
        <v/>
      </c>
    </row>
    <row r="53">
      <c r="A53" s="11" t="inlineStr">
        <is>
          <t>SOUS-TOTAL LOT G</t>
        </is>
      </c>
      <c r="E53" s="12">
        <f>SUM(E49:E52)</f>
        <v/>
      </c>
    </row>
    <row r="55" ht="18" customHeight="1">
      <c r="A55" s="5" t="inlineStr">
        <is>
          <t>— LOT H — CONVERSATION ET RELATION PROSPECT —</t>
        </is>
      </c>
    </row>
    <row r="56" ht="26" customHeight="1">
      <c r="A56" s="6" t="inlineStr">
        <is>
          <t>Chat temps réel avec l'assistante</t>
        </is>
      </c>
      <c r="B56" s="7" t="inlineStr">
        <is>
          <t>Bouton flottant à la photo de l'assistante attitrée, messages instantanés, signal sonore, liens cliquables ; la conversation est reprise côté conseiller</t>
        </is>
      </c>
      <c r="C56" s="8" t="inlineStr">
        <is>
          <t>1 forfait</t>
        </is>
      </c>
      <c r="D56" s="9" t="n"/>
      <c r="E56" s="10">
        <f>IF(D56="","",1*D56)</f>
        <v/>
      </c>
    </row>
    <row r="57" ht="26" customHeight="1">
      <c r="A57" s="6" t="inlineStr">
        <is>
          <t>Bouton WhatsApp</t>
        </is>
      </c>
      <c r="B57" s="7" t="inlineStr">
        <is>
          <t>Numéros lus depuis la configuration serveur, modifiables sans redéploiement</t>
        </is>
      </c>
      <c r="C57" s="8" t="inlineStr">
        <is>
          <t>1 forfait</t>
        </is>
      </c>
      <c r="D57" s="9" t="n"/>
      <c r="E57" s="10">
        <f>IF(D57="","",1*D57)</f>
        <v/>
      </c>
    </row>
    <row r="58">
      <c r="A58" s="11" t="inlineStr">
        <is>
          <t>SOUS-TOTAL LOT H</t>
        </is>
      </c>
      <c r="E58" s="12">
        <f>SUM(E56:E57)</f>
        <v/>
      </c>
    </row>
    <row r="60" ht="18" customHeight="1">
      <c r="A60" s="5" t="inlineStr">
        <is>
          <t>— LOT I — RÉFÉRENCEMENT ET MESURE D'AUDIENCE —</t>
        </is>
      </c>
    </row>
    <row r="61" ht="26" customHeight="1">
      <c r="A61" s="6" t="inlineStr">
        <is>
          <t>SEO natif</t>
        </is>
      </c>
      <c r="B61" s="7" t="inlineStr">
        <is>
          <t>Balises par page, OrganizationSchema, sitemap, robots.txt</t>
        </is>
      </c>
      <c r="C61" s="8" t="inlineStr">
        <is>
          <t>1 forfait</t>
        </is>
      </c>
      <c r="D61" s="9" t="n"/>
      <c r="E61" s="10">
        <f>IF(D61="","",1*D61)</f>
        <v/>
      </c>
    </row>
    <row r="62" ht="26" customHeight="1">
      <c r="A62" s="6" t="inlineStr">
        <is>
          <t>Google Analytics 4</t>
        </is>
      </c>
      <c r="B62" s="7" t="inlineStr">
        <is>
          <t>Treize événements de conversion suivis, du premier contact à l'achat</t>
        </is>
      </c>
      <c r="C62" s="8" t="inlineStr">
        <is>
          <t>13 événements</t>
        </is>
      </c>
      <c r="D62" s="9" t="n"/>
      <c r="E62" s="10">
        <f>IF(D62="","",13*D62)</f>
        <v/>
      </c>
    </row>
    <row r="63" ht="26" customHeight="1">
      <c r="A63" s="6" t="inlineStr">
        <is>
          <t>Captation des campagnes (UTM)</t>
        </is>
      </c>
      <c r="B63" s="7" t="inlineStr">
        <is>
          <t>Paramètres capturés à l'arrivée et conservés jusqu'à la conversion, pour attribuer un inscrit à sa campagne</t>
        </is>
      </c>
      <c r="C63" s="8" t="inlineStr">
        <is>
          <t>1 forfait</t>
        </is>
      </c>
      <c r="D63" s="9" t="n"/>
      <c r="E63" s="10">
        <f>IF(D63="","",1*D63)</f>
        <v/>
      </c>
    </row>
    <row r="64" ht="26" customHeight="1">
      <c r="A64" s="6" t="inlineStr">
        <is>
          <t>Comptage serveur des vues</t>
        </is>
      </c>
      <c r="B64" s="7" t="inlineStr">
        <is>
          <t>Mesure indépendante des bloqueurs de publicité</t>
        </is>
      </c>
      <c r="C64" s="8" t="inlineStr">
        <is>
          <t>1 forfait</t>
        </is>
      </c>
      <c r="D64" s="9" t="n"/>
      <c r="E64" s="10">
        <f>IF(D64="","",1*D64)</f>
        <v/>
      </c>
    </row>
    <row r="65">
      <c r="A65" s="11" t="inlineStr">
        <is>
          <t>SOUS-TOTAL LOT I</t>
        </is>
      </c>
      <c r="E65" s="12">
        <f>SUM(E61:E64)</f>
        <v/>
      </c>
    </row>
    <row r="67" ht="18" customHeight="1">
      <c r="A67" s="5" t="inlineStr">
        <is>
          <t>— LOT J — INTÉGRATIONS EXTÉRIEURES —</t>
        </is>
      </c>
    </row>
    <row r="68" ht="26" customHeight="1">
      <c r="A68" s="6" t="inlineStr">
        <is>
          <t>Raccordement aux services extérieurs</t>
        </is>
      </c>
      <c r="B68" s="7" t="inlineStr">
        <is>
          <t>API BET, Supabase (comptes), Firebase (chat), TouchPoint (paiement), Cloudinary (médias), Google Analytics 4</t>
        </is>
      </c>
      <c r="C68" s="8" t="inlineStr">
        <is>
          <t>6 services</t>
        </is>
      </c>
      <c r="D68" s="9" t="n"/>
      <c r="E68" s="10">
        <f>IF(D68="","",6*D68)</f>
        <v/>
      </c>
    </row>
    <row r="69" ht="26" customHeight="1">
      <c r="A69" s="6" t="inlineStr">
        <is>
          <t>Points d'entrée serveur consommés</t>
        </is>
      </c>
      <c r="B69" s="7" t="inlineStr">
        <is>
          <t>Appels au serveur BET depuis le site public, tous écrans confondus</t>
        </is>
      </c>
      <c r="C69" s="8" t="inlineStr">
        <is>
          <t>71 points d'API</t>
        </is>
      </c>
      <c r="D69" s="9" t="n"/>
      <c r="E69" s="10">
        <f>IF(D69="","",71*D69)</f>
        <v/>
      </c>
    </row>
    <row r="70">
      <c r="A70" s="11" t="inlineStr">
        <is>
          <t>SOUS-TOTAL LOT J</t>
        </is>
      </c>
      <c r="E70" s="12">
        <f>SUM(E68:E69)</f>
        <v/>
      </c>
    </row>
    <row r="72" ht="18" customHeight="1">
      <c r="A72" s="5" t="inlineStr">
        <is>
          <t>— LOT K — RECETTE ET MISE EN LIGNE —</t>
        </is>
      </c>
    </row>
    <row r="73" ht="26" customHeight="1">
      <c r="A73" s="6" t="inlineStr">
        <is>
          <t>Tests &amp; recette</t>
        </is>
      </c>
      <c r="B73" s="7" t="inlineStr">
        <is>
          <t>Tests multi-navigateurs, audit de performance et corrections</t>
        </is>
      </c>
      <c r="C73" s="8" t="inlineStr">
        <is>
          <t>1 forfait</t>
        </is>
      </c>
      <c r="D73" s="9" t="n"/>
      <c r="E73" s="10">
        <f>IF(D73="","",1*D73)</f>
        <v/>
      </c>
    </row>
    <row r="74" ht="26" customHeight="1">
      <c r="A74" s="6" t="inlineStr">
        <is>
          <t>Mise en ligne &amp; déploiement</t>
        </is>
      </c>
      <c r="B74" s="7" t="inlineStr">
        <is>
          <t>Configuration du domaine, DNS, certificat HTTPS, redirection, intégration continue</t>
        </is>
      </c>
      <c r="C74" s="8" t="inlineStr">
        <is>
          <t>1 forfait</t>
        </is>
      </c>
      <c r="D74" s="9" t="n"/>
      <c r="E74" s="10">
        <f>IF(D74="","",1*D74)</f>
        <v/>
      </c>
    </row>
    <row r="75" ht="26" customHeight="1">
      <c r="A75" s="6" t="inlineStr">
        <is>
          <t>Formation à la prise en main</t>
        </is>
      </c>
      <c r="B75" s="7" t="inlineStr">
        <is>
          <t>Session avec l'équipe BET sur l'administration des contenus</t>
        </is>
      </c>
      <c r="C75" s="8" t="inlineStr">
        <is>
          <t>1 forfait</t>
        </is>
      </c>
      <c r="D75" s="9" t="n"/>
      <c r="E75" s="10">
        <f>IF(D75="","",1*D75)</f>
        <v/>
      </c>
    </row>
    <row r="76" ht="26" customHeight="1">
      <c r="A76" s="6" t="inlineStr">
        <is>
          <t>Documentation utilisateur</t>
        </is>
      </c>
      <c r="B76" s="7" t="inlineStr">
        <is>
          <t>Guide d'administration en français</t>
        </is>
      </c>
      <c r="C76" s="8" t="inlineStr">
        <is>
          <t>1 livrable</t>
        </is>
      </c>
      <c r="D76" s="9" t="n"/>
      <c r="E76" s="10">
        <f>IF(D76="","",1*D76)</f>
        <v/>
      </c>
    </row>
    <row r="77" ht="26" customHeight="1">
      <c r="A77" s="6" t="inlineStr">
        <is>
          <t>Maintenance corrective</t>
        </is>
      </c>
      <c r="B77" s="7" t="inlineStr">
        <is>
          <t>Correction des anomalies après livraison, sans surcoût</t>
        </is>
      </c>
      <c r="C77" s="8" t="inlineStr">
        <is>
          <t>3 mois</t>
        </is>
      </c>
      <c r="D77" s="9" t="n"/>
      <c r="E77" s="10">
        <f>IF(D77="","",3*D77)</f>
        <v/>
      </c>
    </row>
    <row r="78">
      <c r="A78" s="11" t="inlineStr">
        <is>
          <t>SOUS-TOTAL LOT K</t>
        </is>
      </c>
      <c r="E78" s="12">
        <f>SUM(E73:E77)</f>
        <v/>
      </c>
    </row>
    <row r="80" ht="18" customHeight="1">
      <c r="A80" s="5" t="inlineStr">
        <is>
          <t>— OPTIONS ET ÉVOLUTIONS —</t>
        </is>
      </c>
    </row>
    <row r="81" ht="26" customHeight="1">
      <c r="A81" s="13" t="inlineStr">
        <is>
          <t>Page d'erreur 404</t>
        </is>
      </c>
      <c r="B81" s="7" t="inlineStr">
        <is>
          <t>ABSENTE. Une adresse inconnue n'affiche rien aujourd'hui — relevé dans l'inventaire du site</t>
        </is>
      </c>
      <c r="C81" s="8" t="inlineStr">
        <is>
          <t>1 forfait</t>
        </is>
      </c>
      <c r="D81" s="9" t="n"/>
      <c r="E81" s="10">
        <f>IF(D81="","",1*D81)</f>
        <v/>
      </c>
    </row>
    <row r="82" ht="26" customHeight="1">
      <c r="A82" s="6" t="inlineStr">
        <is>
          <t>Support prioritaire</t>
        </is>
      </c>
      <c r="B82" s="7" t="inlineStr">
        <is>
          <t>Réponse sous délai convenu, corrections et ajustements</t>
        </is>
      </c>
      <c r="C82" s="8" t="inlineStr">
        <is>
          <t>6 mois</t>
        </is>
      </c>
      <c r="D82" s="9" t="n"/>
      <c r="E82" s="10">
        <f>IF(D82="","",6*D82)</f>
        <v/>
      </c>
    </row>
    <row r="83" ht="26" customHeight="1">
      <c r="A83" s="6" t="inlineStr">
        <is>
          <t>Évolutions fonctionnelles</t>
        </is>
      </c>
      <c r="B83" s="7" t="inlineStr">
        <is>
          <t>Enveloppe d'évolutions après mise en ligne</t>
        </is>
      </c>
      <c r="C83" s="8" t="inlineStr">
        <is>
          <t>1 forfait</t>
        </is>
      </c>
      <c r="D83" s="9" t="n"/>
      <c r="E83" s="10">
        <f>IF(D83="","",1*D83)</f>
        <v/>
      </c>
    </row>
    <row r="84" ht="26" customHeight="1">
      <c r="A84" s="6" t="inlineStr">
        <is>
          <t>Hébergement &amp; stockage médias</t>
        </is>
      </c>
      <c r="B84" s="7" t="inlineStr">
        <is>
          <t>Hébergement du site et stockage des médias</t>
        </is>
      </c>
      <c r="C84" s="8" t="inlineStr">
        <is>
          <t>12 mois</t>
        </is>
      </c>
      <c r="D84" s="9" t="n"/>
      <c r="E84" s="10">
        <f>IF(D84="","",12*D84)</f>
        <v/>
      </c>
    </row>
    <row r="85">
      <c r="A85" s="11" t="inlineStr">
        <is>
          <t>SOUS-TOTAL OPTIONS</t>
        </is>
      </c>
      <c r="E85" s="12">
        <f>SUM(E81:E84)</f>
        <v/>
      </c>
    </row>
    <row r="88" ht="26" customHeight="1">
      <c r="A88" s="14" t="inlineStr">
        <is>
          <t>TOTAL GÉNÉRAL (FCFA)</t>
        </is>
      </c>
      <c r="E88" s="15">
        <f>E13+E20+E26+E33+E40+E46+E53+E58+E65+E70+E78+E85</f>
        <v/>
      </c>
    </row>
    <row r="90" ht="26" customHeight="1">
      <c r="A90" s="16" t="inlineStr">
        <is>
          <t>•  Les quantités sont relevées dans le code : 24 pages, 6 parcours guidés, 25 fonctionnalités transverses, 16 formulaires, 6 services extérieurs et 71 points d'entrée serveur. Le détail est dans les feuilles suivantes.</t>
        </is>
      </c>
    </row>
    <row r="91" ht="26" customHeight="1">
      <c r="A91" s="16" t="inlineStr">
        <is>
          <t>•  Le test de niveau est isolé en lot E : à lui seul il pèse 2 973 lignes, soit plus que n'importe quelle autre page du site. Le noyer dans un forfait « pages » sous-estimerait le poste le plus lourd.</t>
        </is>
      </c>
    </row>
    <row r="92" ht="26" customHeight="1">
      <c r="A92" s="16" t="inlineStr">
        <is>
          <t>•  La page d'erreur 404 figure en options parce qu'elle n'existe pas : aujourd'hui, une adresse inconnue n'affiche rien.</t>
        </is>
      </c>
    </row>
    <row r="93" ht="26" customHeight="1">
      <c r="A93" s="16" t="inlineStr">
        <is>
          <t>•  Aucun prix n'a été porté dans ce document : il ne se lit pas dans le code. Renseignez la colonne « Prix unitaire », les totaux, sous-totaux et total général se calculent seuls.</t>
        </is>
      </c>
    </row>
  </sheetData>
  <mergeCells count="31">
    <mergeCell ref="A48:E48"/>
    <mergeCell ref="A53:D53"/>
    <mergeCell ref="A15:E15"/>
    <mergeCell ref="A20:D20"/>
    <mergeCell ref="A60:E60"/>
    <mergeCell ref="A6:E6"/>
    <mergeCell ref="A13:D13"/>
    <mergeCell ref="A40:D40"/>
    <mergeCell ref="A58:D58"/>
    <mergeCell ref="A90:E90"/>
    <mergeCell ref="A80:E80"/>
    <mergeCell ref="A3:E3"/>
    <mergeCell ref="A55:E55"/>
    <mergeCell ref="A70:D70"/>
    <mergeCell ref="A2:E2"/>
    <mergeCell ref="A88:D88"/>
    <mergeCell ref="A42:E42"/>
    <mergeCell ref="A78:D78"/>
    <mergeCell ref="A65:D65"/>
    <mergeCell ref="A22:E22"/>
    <mergeCell ref="A46:D46"/>
    <mergeCell ref="A91:E91"/>
    <mergeCell ref="A35:E35"/>
    <mergeCell ref="A72:E72"/>
    <mergeCell ref="A28:E28"/>
    <mergeCell ref="A26:D26"/>
    <mergeCell ref="A93:E93"/>
    <mergeCell ref="A33:D33"/>
    <mergeCell ref="A85:D85"/>
    <mergeCell ref="A67:E67"/>
    <mergeCell ref="A92:E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6" customWidth="1" min="3" max="3"/>
    <col width="86" customWidth="1" min="4" max="4"/>
    <col width="13" customWidth="1" min="5" max="5"/>
    <col width="11" customWidth="1" min="6" max="6"/>
    <col width="34" customWidth="1" min="7" max="7"/>
  </cols>
  <sheetData>
    <row r="1" ht="24" customHeight="1">
      <c r="A1" s="17" t="inlineStr">
        <is>
          <t>Les 24 pages du site</t>
        </is>
      </c>
    </row>
    <row r="2">
      <c r="A2" s="18" t="inlineStr">
        <is>
          <t>Neuf adresses prennent un paramètre dans l'URL — une fiche de cours, un article, un centre.</t>
        </is>
      </c>
    </row>
    <row r="4" ht="26" customHeight="1">
      <c r="A4" s="19" t="inlineStr">
        <is>
          <t>Famille</t>
        </is>
      </c>
      <c r="B4" s="19" t="inlineStr">
        <is>
          <t>Adresse</t>
        </is>
      </c>
      <c r="C4" s="19" t="inlineStr">
        <is>
          <t>Page</t>
        </is>
      </c>
      <c r="D4" s="19" t="inlineStr">
        <is>
          <t>Ce qu'on y trouve</t>
        </is>
      </c>
      <c r="E4" s="20" t="inlineStr">
        <is>
          <t>Complexité</t>
        </is>
      </c>
      <c r="F4" s="20" t="inlineStr">
        <is>
          <t>Charge (j)</t>
        </is>
      </c>
      <c r="G4" s="20" t="inlineStr">
        <is>
          <t>Commentaire</t>
        </is>
      </c>
    </row>
    <row r="5">
      <c r="A5" s="21" t="inlineStr">
        <is>
          <t>Contenu</t>
        </is>
      </c>
      <c r="B5" s="22" t="inlineStr">
        <is>
          <t>/</t>
        </is>
      </c>
      <c r="C5" s="22" t="inlineStr">
        <is>
          <t>Accueil</t>
        </is>
      </c>
      <c r="D5" s="22" t="inlineStr">
        <is>
          <t>Carrousel administrable, programmes, coachs, équipe administrative, témoignages, blog, partenaires, bandeau catalogue PDF</t>
        </is>
      </c>
      <c r="E5" s="23" t="inlineStr"/>
      <c r="F5" s="23" t="inlineStr"/>
      <c r="G5" s="23" t="inlineStr"/>
    </row>
    <row r="6">
      <c r="A6" s="24" t="inlineStr">
        <is>
          <t>Contenu</t>
        </is>
      </c>
      <c r="B6" s="25" t="inlineStr">
        <is>
          <t>/about</t>
        </is>
      </c>
      <c r="C6" s="25" t="inlineStr">
        <is>
          <t>À propos</t>
        </is>
      </c>
      <c r="D6" s="25" t="inlineStr">
        <is>
          <t>Présentation de BET, histoire, chiffres, équipe</t>
        </is>
      </c>
      <c r="E6" s="23" t="inlineStr"/>
      <c r="F6" s="23" t="inlineStr"/>
      <c r="G6" s="23" t="inlineStr"/>
    </row>
    <row r="7">
      <c r="A7" s="21" t="inlineStr">
        <is>
          <t>Contenu</t>
        </is>
      </c>
      <c r="B7" s="22" t="inlineStr">
        <is>
          <t>/faq</t>
        </is>
      </c>
      <c r="C7" s="22" t="inlineStr">
        <is>
          <t>FAQ</t>
        </is>
      </c>
      <c r="D7" s="22" t="inlineStr">
        <is>
          <t>Questions administrables depuis le back-office, coordonnées de contact</t>
        </is>
      </c>
      <c r="E7" s="23" t="inlineStr"/>
      <c r="F7" s="23" t="inlineStr"/>
      <c r="G7" s="23" t="inlineStr"/>
    </row>
    <row r="8">
      <c r="A8" s="24" t="inlineStr">
        <is>
          <t>Contenu</t>
        </is>
      </c>
      <c r="B8" s="25" t="inlineStr">
        <is>
          <t>/contact</t>
        </is>
      </c>
      <c r="C8" s="25" t="inlineStr">
        <is>
          <t>Contact</t>
        </is>
      </c>
      <c r="D8" s="25" t="inlineStr">
        <is>
          <t>Formulaire de contact, coordonnées et numéros WhatsApp lus depuis la configuration serveur</t>
        </is>
      </c>
      <c r="E8" s="23" t="inlineStr"/>
      <c r="F8" s="23" t="inlineStr"/>
      <c r="G8" s="23" t="inlineStr"/>
    </row>
    <row r="9">
      <c r="A9" s="21" t="inlineStr">
        <is>
          <t>Contenu</t>
        </is>
      </c>
      <c r="B9" s="22" t="inlineStr">
        <is>
          <t>/temoignages</t>
        </is>
      </c>
      <c r="C9" s="22" t="inlineStr">
        <is>
          <t>Témoignages</t>
        </is>
      </c>
      <c r="D9" s="22" t="inlineStr">
        <is>
          <t>Avis publiés, filtres et recherche</t>
        </is>
      </c>
      <c r="E9" s="23" t="inlineStr"/>
      <c r="F9" s="23" t="inlineStr"/>
      <c r="G9" s="23" t="inlineStr"/>
    </row>
    <row r="10">
      <c r="A10" s="24" t="inlineStr">
        <is>
          <t>Contenu</t>
        </is>
      </c>
      <c r="B10" s="25" t="inlineStr">
        <is>
          <t>/blog</t>
        </is>
      </c>
      <c r="C10" s="25" t="inlineStr">
        <is>
          <t>Blog — liste</t>
        </is>
      </c>
      <c r="D10" s="25" t="inlineStr">
        <is>
          <t>Articles publiés depuis le back-office</t>
        </is>
      </c>
      <c r="E10" s="23" t="inlineStr"/>
      <c r="F10" s="23" t="inlineStr"/>
      <c r="G10" s="23" t="inlineStr"/>
    </row>
    <row r="11">
      <c r="A11" s="21" t="inlineStr">
        <is>
          <t>Contenu</t>
        </is>
      </c>
      <c r="B11" s="22" t="inlineStr">
        <is>
          <t>/blog/:id</t>
        </is>
      </c>
      <c r="C11" s="22" t="inlineStr">
        <is>
          <t>Blog — article</t>
        </is>
      </c>
      <c r="D11" s="22" t="inlineStr">
        <is>
          <t>Article complet</t>
        </is>
      </c>
      <c r="E11" s="23" t="inlineStr"/>
      <c r="F11" s="23" t="inlineStr"/>
      <c r="G11" s="23" t="inlineStr"/>
    </row>
    <row r="12">
      <c r="A12" s="24" t="inlineStr">
        <is>
          <t>Contenu</t>
        </is>
      </c>
      <c r="B12" s="25" t="inlineStr">
        <is>
          <t>/bet-for-business</t>
        </is>
      </c>
      <c r="C12" s="25" t="inlineStr">
        <is>
          <t>BET for Business</t>
        </is>
      </c>
      <c r="D12" s="25" t="inlineStr">
        <is>
          <t>Offre entreprise, clients publics, logos partenaires</t>
        </is>
      </c>
      <c r="E12" s="23" t="inlineStr"/>
      <c r="F12" s="23" t="inlineStr"/>
      <c r="G12" s="23" t="inlineStr"/>
    </row>
    <row r="13">
      <c r="A13" s="21" t="inlineStr">
        <is>
          <t>Contenu</t>
        </is>
      </c>
      <c r="B13" s="22" t="inlineStr">
        <is>
          <t>/boutique</t>
        </is>
      </c>
      <c r="C13" s="22" t="inlineStr">
        <is>
          <t>Boutique</t>
        </is>
      </c>
      <c r="D13" s="22" t="inlineStr">
        <is>
          <t>Produits actifs, panier, favoris, commandes</t>
        </is>
      </c>
      <c r="E13" s="23" t="inlineStr"/>
      <c r="F13" s="23" t="inlineStr"/>
      <c r="G13" s="23" t="inlineStr"/>
    </row>
    <row r="14">
      <c r="A14" s="24" t="inlineStr">
        <is>
          <t>Catalogue</t>
        </is>
      </c>
      <c r="B14" s="25" t="inlineStr">
        <is>
          <t>/cours/:type</t>
        </is>
      </c>
      <c r="C14" s="25" t="inlineStr">
        <is>
          <t>Fiche format de cours</t>
        </is>
      </c>
      <c r="D14" s="25" t="inlineStr">
        <is>
          <t>En ligne, en cabinet ou à domicile : contenu, formules, avis, codes promo, accès à l'inscription</t>
        </is>
      </c>
      <c r="E14" s="23" t="inlineStr"/>
      <c r="F14" s="23" t="inlineStr"/>
      <c r="G14" s="23" t="inlineStr"/>
    </row>
    <row r="15">
      <c r="A15" s="21" t="inlineStr">
        <is>
          <t>Catalogue</t>
        </is>
      </c>
      <c r="B15" s="22" t="inlineStr">
        <is>
          <t>/certification/:certId</t>
        </is>
      </c>
      <c r="C15" s="22" t="inlineStr">
        <is>
          <t>Fiche certification</t>
        </is>
      </c>
      <c r="D15" s="22" t="inlineStr">
        <is>
          <t>TOEIC, TOEFL, IELTS : préparation, tarifs, avis, codes promo</t>
        </is>
      </c>
      <c r="E15" s="23" t="inlineStr"/>
      <c r="F15" s="23" t="inlineStr"/>
      <c r="G15" s="23" t="inlineStr"/>
    </row>
    <row r="16">
      <c r="A16" s="24" t="inlineStr">
        <is>
          <t>Catalogue</t>
        </is>
      </c>
      <c r="B16" s="25" t="inlineStr">
        <is>
          <t>/centre/:centerId</t>
        </is>
      </c>
      <c r="C16" s="25" t="inlineStr">
        <is>
          <t>Fiche centre</t>
        </is>
      </c>
      <c r="D16" s="25" t="inlineStr">
        <is>
          <t>Bouaké, Angré, Abatta, Yopougon, Koumassi, II Plateaux</t>
        </is>
      </c>
      <c r="E16" s="23" t="inlineStr"/>
      <c r="F16" s="23" t="inlineStr"/>
      <c r="G16" s="23" t="inlineStr"/>
    </row>
    <row r="17">
      <c r="A17" s="21" t="inlineStr">
        <is>
          <t>Catalogue</t>
        </is>
      </c>
      <c r="B17" s="22" t="inlineStr">
        <is>
          <t>/service/:serviceId</t>
        </is>
      </c>
      <c r="C17" s="22" t="inlineStr">
        <is>
          <t>Fiche service</t>
        </is>
      </c>
      <c r="D17" s="22" t="inlineStr">
        <is>
          <t>Séjour linguistique, préparation d'interviews, plateforme des natifs, interprétariat</t>
        </is>
      </c>
      <c r="E17" s="23" t="inlineStr"/>
      <c r="F17" s="23" t="inlineStr"/>
      <c r="G17" s="23" t="inlineStr"/>
    </row>
    <row r="18">
      <c r="A18" s="24" t="inlineStr">
        <is>
          <t>Compte &amp; paiement</t>
        </is>
      </c>
      <c r="B18" s="25" t="inlineStr">
        <is>
          <t>/parcours/particulier</t>
        </is>
      </c>
      <c r="C18" s="25" t="inlineStr">
        <is>
          <t>Point d'entrée particulier</t>
        </is>
      </c>
      <c r="D18" s="25" t="inlineStr">
        <is>
          <t>Orientation vers le bon parcours, dépôt d'un contact avant inscription complète</t>
        </is>
      </c>
      <c r="E18" s="23" t="inlineStr"/>
      <c r="F18" s="23" t="inlineStr"/>
      <c r="G18" s="23" t="inlineStr"/>
    </row>
    <row r="19">
      <c r="A19" s="21" t="inlineStr">
        <is>
          <t>Compte &amp; paiement</t>
        </is>
      </c>
      <c r="B19" s="22" t="inlineStr">
        <is>
          <t>/parcours/inscription</t>
        </is>
      </c>
      <c r="C19" s="22" t="inlineStr">
        <is>
          <t>Tunnel d'inscription</t>
        </is>
      </c>
      <c r="D19" s="22" t="inlineStr">
        <is>
          <t>Cinq étapes, du type de coaching aux coordonnées</t>
        </is>
      </c>
      <c r="E19" s="23" t="inlineStr"/>
      <c r="F19" s="23" t="inlineStr"/>
      <c r="G19" s="23" t="inlineStr"/>
    </row>
    <row r="20">
      <c r="A20" s="24" t="inlineStr">
        <is>
          <t>Compte &amp; paiement</t>
        </is>
      </c>
      <c r="B20" s="25" t="inlineStr">
        <is>
          <t>/test-niveau</t>
        </is>
      </c>
      <c r="C20" s="25" t="inlineStr">
        <is>
          <t>Test de niveau gratuit</t>
        </is>
      </c>
      <c r="D20" s="25" t="inlineStr">
        <is>
          <t>Le plus gros écran du site : questionnaire chronométré, épreuve orale enregistrée, résultat CECRL</t>
        </is>
      </c>
      <c r="E20" s="23" t="inlineStr"/>
      <c r="F20" s="23" t="inlineStr"/>
      <c r="G20" s="23" t="inlineStr"/>
    </row>
    <row r="21">
      <c r="A21" s="21" t="inlineStr">
        <is>
          <t>Compte &amp; paiement</t>
        </is>
      </c>
      <c r="B21" s="22" t="inlineStr">
        <is>
          <t>/mon-espace</t>
        </is>
      </c>
      <c r="C21" s="22" t="inlineStr">
        <is>
          <t>Espace personnel</t>
        </is>
      </c>
      <c r="D21" s="22" t="inlineStr">
        <is>
          <t>Deux visages : prospect avant inscription, apprenant après</t>
        </is>
      </c>
      <c r="E21" s="23" t="inlineStr"/>
      <c r="F21" s="23" t="inlineStr"/>
      <c r="G21" s="23" t="inlineStr"/>
    </row>
    <row r="22">
      <c r="A22" s="24" t="inlineStr">
        <is>
          <t>Compte &amp; paiement</t>
        </is>
      </c>
      <c r="B22" s="25" t="inlineStr">
        <is>
          <t>/connexion</t>
        </is>
      </c>
      <c r="C22" s="25" t="inlineStr">
        <is>
          <t>Connexion</t>
        </is>
      </c>
      <c r="D22" s="25" t="inlineStr">
        <is>
          <t>Mot de passe ou compte Google</t>
        </is>
      </c>
      <c r="E22" s="23" t="inlineStr"/>
      <c r="F22" s="23" t="inlineStr"/>
      <c r="G22" s="23" t="inlineStr"/>
    </row>
    <row r="23">
      <c r="A23" s="21" t="inlineStr">
        <is>
          <t>Compte &amp; paiement</t>
        </is>
      </c>
      <c r="B23" s="22" t="inlineStr">
        <is>
          <t>/update-password</t>
        </is>
      </c>
      <c r="C23" s="22" t="inlineStr">
        <is>
          <t>Nouveau mot de passe</t>
        </is>
      </c>
      <c r="D23" s="22" t="inlineStr">
        <is>
          <t>Atterrissage du lien reçu par courriel</t>
        </is>
      </c>
      <c r="E23" s="23" t="inlineStr"/>
      <c r="F23" s="23" t="inlineStr"/>
      <c r="G23" s="23" t="inlineStr"/>
    </row>
    <row r="24">
      <c r="A24" s="24" t="inlineStr">
        <is>
          <t>Compte &amp; paiement</t>
        </is>
      </c>
      <c r="B24" s="25" t="inlineStr">
        <is>
          <t>/paiement/retour</t>
        </is>
      </c>
      <c r="C24" s="25" t="inlineStr">
        <is>
          <t>Retour de paiement</t>
        </is>
      </c>
      <c r="D24" s="25" t="inlineStr">
        <is>
          <t>Résultat de la transaction, reçu téléchargeable en PDF</t>
        </is>
      </c>
      <c r="E24" s="23" t="inlineStr"/>
      <c r="F24" s="23" t="inlineStr"/>
      <c r="G24" s="23" t="inlineStr"/>
    </row>
    <row r="25">
      <c r="A25" s="21" t="inlineStr">
        <is>
          <t>Compte &amp; paiement</t>
        </is>
      </c>
      <c r="B25" s="22" t="inlineStr">
        <is>
          <t>/paiement/relancer</t>
        </is>
      </c>
      <c r="C25" s="22" t="inlineStr">
        <is>
          <t>Relance de paiement</t>
        </is>
      </c>
      <c r="D25" s="22" t="inlineStr">
        <is>
          <t>Reprise d'un paiement interrompu</t>
        </is>
      </c>
      <c r="E25" s="23" t="inlineStr"/>
      <c r="F25" s="23" t="inlineStr"/>
      <c r="G25" s="23" t="inlineStr"/>
    </row>
    <row r="26">
      <c r="A26" s="24" t="inlineStr">
        <is>
          <t>Campagne</t>
        </is>
      </c>
      <c r="B26" s="25" t="inlineStr">
        <is>
          <t>/f/:slug</t>
        </is>
      </c>
      <c r="C26" s="25" t="inlineStr">
        <is>
          <t>Formulaire de campagne</t>
        </is>
      </c>
      <c r="D26" s="25" t="inlineStr">
        <is>
          <t>La page qu'ouvre un QR code imprimé. Adresse volontairement courte : elle se dicte à l'oral et tient sur une affiche</t>
        </is>
      </c>
      <c r="E26" s="23" t="inlineStr"/>
      <c r="F26" s="23" t="inlineStr"/>
      <c r="G26" s="23" t="inlineStr"/>
    </row>
    <row r="27">
      <c r="A27" s="21" t="inlineStr">
        <is>
          <t>Campagne</t>
        </is>
      </c>
      <c r="B27" s="22" t="inlineStr">
        <is>
          <t>/lead-magnet/audit-gratuit</t>
        </is>
      </c>
      <c r="C27" s="22" t="inlineStr">
        <is>
          <t>Audit gratuit</t>
        </is>
      </c>
      <c r="D27" s="22" t="inlineStr">
        <is>
          <t>Formulaire de demande d'audit pour les entreprises</t>
        </is>
      </c>
      <c r="E27" s="23" t="inlineStr"/>
      <c r="F27" s="23" t="inlineStr"/>
      <c r="G27" s="23" t="inlineStr"/>
    </row>
    <row r="28">
      <c r="A28" s="24" t="inlineStr">
        <is>
          <t>Campagne</t>
        </is>
      </c>
      <c r="B28" s="25" t="inlineStr">
        <is>
          <t>/lead-magnet/merci</t>
        </is>
      </c>
      <c r="C28" s="25" t="inlineStr">
        <is>
          <t>Remerciement</t>
        </is>
      </c>
      <c r="D28" s="25" t="inlineStr">
        <is>
          <t>Page d'atterrissage après envoi</t>
        </is>
      </c>
      <c r="E28" s="23" t="inlineStr"/>
      <c r="F28" s="23" t="inlineStr"/>
      <c r="G28" s="23" t="inlineStr"/>
    </row>
  </sheetData>
  <autoFilter ref="A4:G28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1" customWidth="1" min="3" max="3"/>
    <col width="96" customWidth="1" min="4" max="4"/>
    <col width="13" customWidth="1" min="5" max="5"/>
    <col width="11" customWidth="1" min="6" max="6"/>
    <col width="34" customWidth="1" min="7" max="7"/>
  </cols>
  <sheetData>
    <row r="1" ht="24" customHeight="1">
      <c r="A1" s="17" t="inlineStr">
        <is>
          <t>Les 6 parcours guidés</t>
        </is>
      </c>
    </row>
    <row r="2">
      <c r="A2" s="18" t="inlineStr">
        <is>
          <t>Quatre sont des fenêtres ouvertes depuis la navigation, deux sont des pages à part entière.</t>
        </is>
      </c>
    </row>
    <row r="4" ht="26" customHeight="1">
      <c r="A4" s="19" t="inlineStr">
        <is>
          <t>Parcours</t>
        </is>
      </c>
      <c r="B4" s="19" t="inlineStr">
        <is>
          <t>Point d'entrée</t>
        </is>
      </c>
      <c r="C4" s="19" t="inlineStr">
        <is>
          <t>Étapes</t>
        </is>
      </c>
      <c r="D4" s="19" t="inlineStr">
        <is>
          <t>Ce qui s'y passe</t>
        </is>
      </c>
      <c r="E4" s="20" t="inlineStr">
        <is>
          <t>Complexité</t>
        </is>
      </c>
      <c r="F4" s="20" t="inlineStr">
        <is>
          <t>Charge (j)</t>
        </is>
      </c>
      <c r="G4" s="20" t="inlineStr">
        <is>
          <t>Commentaire</t>
        </is>
      </c>
    </row>
    <row r="5" ht="54" customHeight="1">
      <c r="A5" s="21" t="inlineStr">
        <is>
          <t>Inscription d'un adulte</t>
        </is>
      </c>
      <c r="B5" s="22" t="inlineStr">
        <is>
          <t>Fenêtre ouverte depuis la navigation</t>
        </is>
      </c>
      <c r="C5" s="22" t="inlineStr">
        <is>
          <t>11 états</t>
        </is>
      </c>
      <c r="D5" s="22" t="inlineStr">
        <is>
          <t>Le chemin se dédouble dès la première question : type de coaching, offre et formule, branche présentiel avec choix du centre trié par distance, cours à domicile avec saisie d'adresse, choix de l'assistante parmi celles réellement disponibles, connexion facultative pour pré-remplir, récapitulatif et confirmation. La progression est conservée : un visiteur interrompu reprend où il s'était arrêté.</t>
        </is>
      </c>
      <c r="E5" s="23" t="inlineStr"/>
      <c r="F5" s="23" t="inlineStr"/>
      <c r="G5" s="23" t="inlineStr"/>
    </row>
    <row r="6" ht="54" customHeight="1">
      <c r="A6" s="24" t="inlineStr">
        <is>
          <t>Inscription d'un enfant</t>
        </is>
      </c>
      <c r="B6" s="25" t="inlineStr">
        <is>
          <t>Fenêtre ouverte depuis « Inscription »</t>
        </is>
      </c>
      <c r="C6" s="25" t="inlineStr">
        <is>
          <t>6 étapes</t>
        </is>
      </c>
      <c r="D6" s="25" t="inlineStr">
        <is>
          <t>Informations sur l'enfant, informations du parent, offre et formule filtrées sur celles pertinentes pour un enfant, modalité en ligne ou présentiel, récapitulatif, confirmation. 1 286 lignes.</t>
        </is>
      </c>
      <c r="E6" s="23" t="inlineStr"/>
      <c r="F6" s="23" t="inlineStr"/>
      <c r="G6" s="23" t="inlineStr"/>
    </row>
    <row r="7" ht="54" customHeight="1">
      <c r="A7" s="21" t="inlineStr">
        <is>
          <t>Demande d'une entreprise</t>
        </is>
      </c>
      <c r="B7" s="22" t="inlineStr">
        <is>
          <t>Fenêtre ouverte depuis « BET for Business »</t>
        </is>
      </c>
      <c r="C7" s="22" t="inlineStr">
        <is>
          <t>3 étapes</t>
        </is>
      </c>
      <c r="D7" s="22" t="inlineStr">
        <is>
          <t>Votre entreprise (raison sociale, contact, effectif à former), niveau et objectifs CECRL, format et rythme souhaités. 503 lignes.</t>
        </is>
      </c>
      <c r="E7" s="23" t="inlineStr"/>
      <c r="F7" s="23" t="inlineStr"/>
      <c r="G7" s="23" t="inlineStr"/>
    </row>
    <row r="8" ht="54" customHeight="1">
      <c r="A8" s="24" t="inlineStr">
        <is>
          <t>Centres en ligne</t>
        </is>
      </c>
      <c r="B8" s="25" t="inlineStr">
        <is>
          <t>Fenêtre dédiée</t>
        </is>
      </c>
      <c r="C8" s="25" t="inlineStr">
        <is>
          <t>3 étapes</t>
        </is>
      </c>
      <c r="D8" s="25" t="inlineStr">
        <is>
          <t>Offres puis choix de la formule, connexion obligatoire à cette étape, récapitulatif et accusé de réception. 1 180 lignes.</t>
        </is>
      </c>
      <c r="E8" s="23" t="inlineStr"/>
      <c r="F8" s="23" t="inlineStr"/>
      <c r="G8" s="23" t="inlineStr"/>
    </row>
    <row r="9" ht="54" customHeight="1">
      <c r="A9" s="21" t="inlineStr">
        <is>
          <t>Tunnel d'inscription</t>
        </is>
      </c>
      <c r="B9" s="22" t="inlineStr">
        <is>
          <t>Page /parcours/inscription</t>
        </is>
      </c>
      <c r="C9" s="22" t="inlineStr">
        <is>
          <t>5 étapes</t>
        </is>
      </c>
      <c r="D9" s="22" t="inlineStr">
        <is>
          <t>Type de coaching, mode d'apprentissage, lieu (cabinet ou centre le plus proche), choix de l'assistante avec sa photo, coordonnées et envoi.</t>
        </is>
      </c>
      <c r="E9" s="23" t="inlineStr"/>
      <c r="F9" s="23" t="inlineStr"/>
      <c r="G9" s="23" t="inlineStr"/>
    </row>
    <row r="10" ht="54" customHeight="1">
      <c r="A10" s="24" t="inlineStr">
        <is>
          <t>Test de niveau gratuit</t>
        </is>
      </c>
      <c r="B10" s="25" t="inlineStr">
        <is>
          <t>Page /test-niveau</t>
        </is>
      </c>
      <c r="C10" s="25" t="inlineStr">
        <is>
          <t>6 écrans</t>
        </is>
      </c>
      <c r="D10" s="25" t="inlineStr">
        <is>
          <t>Formulaire d'identité, questionnaire à choix multiple chronométré des niveaux A1 à C2, épreuve orale enregistrée au microphone et envoyée au serveur, expression écrite, résultat CECRL. L'avancement est enregistré à chaque réponse : une coupure ne fait pas perdre le test. 2 973 lignes.</t>
        </is>
      </c>
      <c r="E10" s="23" t="inlineStr"/>
      <c r="F10" s="23" t="inlineStr"/>
      <c r="G10" s="23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92" customWidth="1" min="3" max="3"/>
    <col width="13" customWidth="1" min="4" max="4"/>
    <col width="11" customWidth="1" min="5" max="5"/>
    <col width="34" customWidth="1" min="6" max="6"/>
  </cols>
  <sheetData>
    <row r="1" ht="24" customHeight="1">
      <c r="A1" s="17" t="inlineStr">
        <is>
          <t>Fonctionnalités transverses</t>
        </is>
      </c>
    </row>
    <row r="2">
      <c r="A2" s="18" t="inlineStr">
        <is>
          <t>Présentes sur toutes les pages, indépendamment du parcours.</t>
        </is>
      </c>
    </row>
    <row r="4" ht="26" customHeight="1">
      <c r="A4" s="19" t="inlineStr">
        <is>
          <t>Famille</t>
        </is>
      </c>
      <c r="B4" s="19" t="inlineStr">
        <is>
          <t>Fonctionnalité</t>
        </is>
      </c>
      <c r="C4" s="19" t="inlineStr">
        <is>
          <t>Détail</t>
        </is>
      </c>
      <c r="D4" s="20" t="inlineStr">
        <is>
          <t>Complexité</t>
        </is>
      </c>
      <c r="E4" s="20" t="inlineStr">
        <is>
          <t>Charge (j)</t>
        </is>
      </c>
      <c r="F4" s="20" t="inlineStr">
        <is>
          <t>Commentaire</t>
        </is>
      </c>
    </row>
    <row r="5">
      <c r="A5" s="21" t="inlineStr">
        <is>
          <t>Navigation et comptes</t>
        </is>
      </c>
      <c r="B5" s="22" t="inlineStr">
        <is>
          <t>Barre de navigation</t>
        </is>
      </c>
      <c r="C5" s="22" t="inlineStr">
        <is>
          <t>Accueil, Apprenez l'anglais, Certifications, Centres physiques, BET for Business, Boutique, FAQ, Contact, Mon espace — c'est elle qui héberge les quatre fenêtres d'inscription</t>
        </is>
      </c>
      <c r="D5" s="23" t="inlineStr"/>
      <c r="E5" s="23" t="inlineStr"/>
      <c r="F5" s="23" t="inlineStr"/>
    </row>
    <row r="6">
      <c r="A6" s="24" t="inlineStr">
        <is>
          <t>Navigation et comptes</t>
        </is>
      </c>
      <c r="B6" s="25" t="inlineStr">
        <is>
          <t>Recherche dans le catalogue</t>
        </is>
      </c>
      <c r="C6" s="25" t="inlineStr">
        <is>
          <t>Depuis la barre de navigation</t>
        </is>
      </c>
      <c r="D6" s="23" t="inlineStr"/>
      <c r="E6" s="23" t="inlineStr"/>
      <c r="F6" s="23" t="inlineStr"/>
    </row>
    <row r="7">
      <c r="A7" s="21" t="inlineStr">
        <is>
          <t>Navigation et comptes</t>
        </is>
      </c>
      <c r="B7" s="22" t="inlineStr">
        <is>
          <t>Connexion</t>
        </is>
      </c>
      <c r="C7" s="22" t="inlineStr">
        <is>
          <t>Mot de passe ou compte Google ; mot de passe oublié et renouvellement par courriel</t>
        </is>
      </c>
      <c r="D7" s="23" t="inlineStr"/>
      <c r="E7" s="23" t="inlineStr"/>
      <c r="F7" s="23" t="inlineStr"/>
    </row>
    <row r="8">
      <c r="A8" s="24" t="inlineStr">
        <is>
          <t>Navigation et comptes</t>
        </is>
      </c>
      <c r="B8" s="25" t="inlineStr">
        <is>
          <t>Bandeau de session active</t>
        </is>
      </c>
      <c r="C8" s="25" t="inlineStr">
        <is>
          <t>Signale une session déjà ouverte</t>
        </is>
      </c>
      <c r="D8" s="23" t="inlineStr"/>
      <c r="E8" s="23" t="inlineStr"/>
      <c r="F8" s="23" t="inlineStr"/>
    </row>
    <row r="9">
      <c r="A9" s="21" t="inlineStr">
        <is>
          <t>Navigation et comptes</t>
        </is>
      </c>
      <c r="B9" s="22" t="inlineStr">
        <is>
          <t>Bilingue français / anglais</t>
        </is>
      </c>
      <c r="C9" s="22" t="inlineStr">
        <is>
          <t>Bascule depuis la barre de navigation</t>
        </is>
      </c>
      <c r="D9" s="23" t="inlineStr"/>
      <c r="E9" s="23" t="inlineStr"/>
      <c r="F9" s="23" t="inlineStr"/>
    </row>
    <row r="10">
      <c r="A10" s="24" t="inlineStr">
        <is>
          <t>Contact et conversation</t>
        </is>
      </c>
      <c r="B10" s="25" t="inlineStr">
        <is>
          <t>Chat avec son assistante</t>
        </is>
      </c>
      <c r="C10" s="25" t="inlineStr">
        <is>
          <t>Bouton flottant portant la photo de l'assistante attitrée, messages en temps réel, signal sonore ; le conseiller retrouve la même conversation depuis son tableau de bord</t>
        </is>
      </c>
      <c r="D10" s="23" t="inlineStr"/>
      <c r="E10" s="23" t="inlineStr"/>
      <c r="F10" s="23" t="inlineStr"/>
    </row>
    <row r="11">
      <c r="A11" s="21" t="inlineStr">
        <is>
          <t>Contact et conversation</t>
        </is>
      </c>
      <c r="B11" s="22" t="inlineStr">
        <is>
          <t>Bouton WhatsApp</t>
        </is>
      </c>
      <c r="C11" s="22" t="inlineStr">
        <is>
          <t>Numéros lus depuis la configuration serveur, jamais écrits en dur</t>
        </is>
      </c>
      <c r="D11" s="23" t="inlineStr"/>
      <c r="E11" s="23" t="inlineStr"/>
      <c r="F11" s="23" t="inlineStr"/>
    </row>
    <row r="12">
      <c r="A12" s="24" t="inlineStr">
        <is>
          <t>Contact et conversation</t>
        </is>
      </c>
      <c r="B12" s="25" t="inlineStr">
        <is>
          <t>Liens cliquables</t>
        </is>
      </c>
      <c r="C12" s="25" t="inlineStr">
        <is>
          <t>Les adresses saisies dans un message le deviennent automatiquement</t>
        </is>
      </c>
      <c r="D12" s="23" t="inlineStr"/>
      <c r="E12" s="23" t="inlineStr"/>
      <c r="F12" s="23" t="inlineStr"/>
    </row>
    <row r="13">
      <c r="A13" s="21" t="inlineStr">
        <is>
          <t>Commerce et promotions</t>
        </is>
      </c>
      <c r="B13" s="22" t="inlineStr">
        <is>
          <t>Codes promo</t>
        </is>
      </c>
      <c r="C13" s="22" t="inlineStr">
        <is>
          <t>Saisis et validés par le serveur sur les fiches de cours, les certifications et les parcours d'inscription</t>
        </is>
      </c>
      <c r="D13" s="23" t="inlineStr"/>
      <c r="E13" s="23" t="inlineStr"/>
      <c r="F13" s="23" t="inlineStr"/>
    </row>
    <row r="14">
      <c r="A14" s="24" t="inlineStr">
        <is>
          <t>Commerce et promotions</t>
        </is>
      </c>
      <c r="B14" s="25" t="inlineStr">
        <is>
          <t>Bandeau de promotions</t>
        </is>
      </c>
      <c r="C14" s="25" t="inlineStr">
        <is>
          <t>Promotions actives affichées automatiquement</t>
        </is>
      </c>
      <c r="D14" s="23" t="inlineStr"/>
      <c r="E14" s="23" t="inlineStr"/>
      <c r="F14" s="23" t="inlineStr"/>
    </row>
    <row r="15">
      <c r="A15" s="21" t="inlineStr">
        <is>
          <t>Commerce et promotions</t>
        </is>
      </c>
      <c r="B15" s="22" t="inlineStr">
        <is>
          <t>Bandeau déroulant et carrousel d'accueil</t>
        </is>
      </c>
      <c r="C15" s="22" t="inlineStr">
        <is>
          <t>Administrables, avec une durée d'affichage réglable par photo</t>
        </is>
      </c>
      <c r="D15" s="23" t="inlineStr"/>
      <c r="E15" s="23" t="inlineStr"/>
      <c r="F15" s="23" t="inlineStr"/>
    </row>
    <row r="16">
      <c r="A16" s="24" t="inlineStr">
        <is>
          <t>Commerce et promotions</t>
        </is>
      </c>
      <c r="B16" s="25" t="inlineStr">
        <is>
          <t>Catalogue PDF</t>
        </is>
      </c>
      <c r="C16" s="25" t="inlineStr">
        <is>
          <t>Bandeau de téléchargement du catalogue BET</t>
        </is>
      </c>
      <c r="D16" s="23" t="inlineStr"/>
      <c r="E16" s="23" t="inlineStr"/>
      <c r="F16" s="23" t="inlineStr"/>
    </row>
    <row r="17">
      <c r="A17" s="21" t="inlineStr">
        <is>
          <t>Avis et contenus</t>
        </is>
      </c>
      <c r="B17" s="22" t="inlineStr">
        <is>
          <t>Avis</t>
        </is>
      </c>
      <c r="C17" s="22" t="inlineStr">
        <is>
          <t>Déposés et affichés sur les fiches de cours et de certification</t>
        </is>
      </c>
      <c r="D17" s="23" t="inlineStr"/>
      <c r="E17" s="23" t="inlineStr"/>
      <c r="F17" s="23" t="inlineStr"/>
    </row>
    <row r="18">
      <c r="A18" s="24" t="inlineStr">
        <is>
          <t>Avis et contenus</t>
        </is>
      </c>
      <c r="B18" s="25" t="inlineStr">
        <is>
          <t>Témoignages</t>
        </is>
      </c>
      <c r="C18" s="25" t="inlineStr">
        <is>
          <t>Page dédiée avec filtres et recherche ; un apprenant en dépose depuis son espace</t>
        </is>
      </c>
      <c r="D18" s="23" t="inlineStr"/>
      <c r="E18" s="23" t="inlineStr"/>
      <c r="F18" s="23" t="inlineStr"/>
    </row>
    <row r="19">
      <c r="A19" s="21" t="inlineStr">
        <is>
          <t>Avis et contenus</t>
        </is>
      </c>
      <c r="B19" s="22" t="inlineStr">
        <is>
          <t>Blog</t>
        </is>
      </c>
      <c r="C19" s="22" t="inlineStr">
        <is>
          <t>Articles administrés depuis le back-office</t>
        </is>
      </c>
      <c r="D19" s="23" t="inlineStr"/>
      <c r="E19" s="23" t="inlineStr"/>
      <c r="F19" s="23" t="inlineStr"/>
    </row>
    <row r="20">
      <c r="A20" s="24" t="inlineStr">
        <is>
          <t>Avis et contenus</t>
        </is>
      </c>
      <c r="B20" s="25" t="inlineStr">
        <is>
          <t>Photos d'équipe</t>
        </is>
      </c>
      <c r="C20" s="25" t="inlineStr">
        <is>
          <t>Coachs et équipe administrative, défilement à vitesse réglable</t>
        </is>
      </c>
      <c r="D20" s="23" t="inlineStr"/>
      <c r="E20" s="23" t="inlineStr"/>
      <c r="F20" s="23" t="inlineStr"/>
    </row>
    <row r="21">
      <c r="A21" s="21" t="inlineStr">
        <is>
          <t>Avis et contenus</t>
        </is>
      </c>
      <c r="B21" s="22" t="inlineStr">
        <is>
          <t>Newsletter</t>
        </is>
      </c>
      <c r="C21" s="22" t="inlineStr">
        <is>
          <t>Inscription depuis le pied de page et depuis le blog ; la désinscription passe par le serveur pour fonctionner depuis un logiciel de messagerie</t>
        </is>
      </c>
      <c r="D21" s="23" t="inlineStr"/>
      <c r="E21" s="23" t="inlineStr"/>
      <c r="F21" s="23" t="inlineStr"/>
    </row>
    <row r="22">
      <c r="A22" s="24" t="inlineStr">
        <is>
          <t>Référencement et mesure</t>
        </is>
      </c>
      <c r="B22" s="25" t="inlineStr">
        <is>
          <t>Balises SEO par page</t>
        </is>
      </c>
      <c r="C22" s="25" t="inlineStr">
        <is>
          <t>Et balisage OrganizationSchema pour les moteurs de recherche</t>
        </is>
      </c>
      <c r="D22" s="23" t="inlineStr"/>
      <c r="E22" s="23" t="inlineStr"/>
      <c r="F22" s="23" t="inlineStr"/>
    </row>
    <row r="23">
      <c r="A23" s="21" t="inlineStr">
        <is>
          <t>Référencement et mesure</t>
        </is>
      </c>
      <c r="B23" s="22" t="inlineStr">
        <is>
          <t>Google Analytics 4</t>
        </is>
      </c>
      <c r="C23" s="22" t="inlineStr">
        <is>
          <t>Treize événements suivis, dont generate_lead, begin_checkout, purchase, test_niveau_commence et termine, contact_whatsapp</t>
        </is>
      </c>
      <c r="D23" s="23" t="inlineStr"/>
      <c r="E23" s="23" t="inlineStr"/>
      <c r="F23" s="23" t="inlineStr"/>
    </row>
    <row r="24">
      <c r="A24" s="24" t="inlineStr">
        <is>
          <t>Référencement et mesure</t>
        </is>
      </c>
      <c r="B24" s="25" t="inlineStr">
        <is>
          <t>Paramètres de campagne (UTM)</t>
        </is>
      </c>
      <c r="C24" s="25" t="inlineStr">
        <is>
          <t>Capturés à l'arrivée et conservés jusqu'à la conversion, pour savoir d'où vient réellement un inscrit</t>
        </is>
      </c>
      <c r="D24" s="23" t="inlineStr"/>
      <c r="E24" s="23" t="inlineStr"/>
      <c r="F24" s="23" t="inlineStr"/>
    </row>
    <row r="25">
      <c r="A25" s="21" t="inlineStr">
        <is>
          <t>Référencement et mesure</t>
        </is>
      </c>
      <c r="B25" s="22" t="inlineStr">
        <is>
          <t>Vues comptées côté serveur</t>
        </is>
      </c>
      <c r="C25" s="22" t="inlineStr">
        <is>
          <t>En plus de GA4, pour ne pas dépendre des bloqueurs de publicité</t>
        </is>
      </c>
      <c r="D25" s="23" t="inlineStr"/>
      <c r="E25" s="23" t="inlineStr"/>
      <c r="F25" s="23" t="inlineStr"/>
    </row>
    <row r="26">
      <c r="A26" s="24" t="inlineStr">
        <is>
          <t>Confort de navigation</t>
        </is>
      </c>
      <c r="B26" s="25" t="inlineStr">
        <is>
          <t>Écran d'accueil au chargement</t>
        </is>
      </c>
      <c r="C26" s="25" t="inlineStr">
        <is>
          <t>En fondu</t>
        </is>
      </c>
      <c r="D26" s="23" t="inlineStr"/>
      <c r="E26" s="23" t="inlineStr"/>
      <c r="F26" s="23" t="inlineStr"/>
    </row>
    <row r="27">
      <c r="A27" s="21" t="inlineStr">
        <is>
          <t>Confort de navigation</t>
        </is>
      </c>
      <c r="B27" s="22" t="inlineStr">
        <is>
          <t>Remontée en haut de page</t>
        </is>
      </c>
      <c r="C27" s="22" t="inlineStr">
        <is>
          <t>À chaque changement d'écran</t>
        </is>
      </c>
      <c r="D27" s="23" t="inlineStr"/>
      <c r="E27" s="23" t="inlineStr"/>
      <c r="F27" s="23" t="inlineStr"/>
    </row>
    <row r="28">
      <c r="A28" s="24" t="inlineStr">
        <is>
          <t>Confort de navigation</t>
        </is>
      </c>
      <c r="B28" s="25" t="inlineStr">
        <is>
          <t>Chargement différé des pages</t>
        </is>
      </c>
      <c r="C28" s="25" t="inlineStr">
        <is>
          <t>Seule celle qu'on regarde est téléchargée</t>
        </is>
      </c>
      <c r="D28" s="23" t="inlineStr"/>
      <c r="E28" s="23" t="inlineStr"/>
      <c r="F28" s="23" t="inlineStr"/>
    </row>
    <row r="29">
      <c r="A29" s="21" t="inlineStr">
        <is>
          <t>Confort de navigation</t>
        </is>
      </c>
      <c r="B29" s="22" t="inlineStr">
        <is>
          <t>Notifications à l'écran</t>
        </is>
      </c>
      <c r="C29" s="22" t="inlineStr">
        <is>
          <t>Messages de confirmation et d'erreur en haut à droite</t>
        </is>
      </c>
      <c r="D29" s="23" t="inlineStr"/>
      <c r="E29" s="23" t="inlineStr"/>
      <c r="F29" s="23" t="inlineStr"/>
    </row>
  </sheetData>
  <autoFilter ref="A4:F29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6" customWidth="1" min="2" max="2"/>
    <col width="18" customWidth="1" min="3" max="3"/>
    <col width="20" customWidth="1" min="4" max="4"/>
    <col width="34" customWidth="1" min="5" max="5"/>
  </cols>
  <sheetData>
    <row r="1" ht="24" customHeight="1">
      <c r="A1" s="17" t="inlineStr">
        <is>
          <t>Services extérieurs et catalogue présenté</t>
        </is>
      </c>
    </row>
    <row r="2">
      <c r="A2" s="18" t="inlineStr">
        <is>
          <t>Les abonnements ci-dessous sont récurrents : ils ne se chiffrent pas comme un développement.</t>
        </is>
      </c>
    </row>
    <row r="4" ht="26" customHeight="1">
      <c r="A4" s="19" t="inlineStr">
        <is>
          <t>Service</t>
        </is>
      </c>
      <c r="B4" s="19" t="inlineStr">
        <is>
          <t>Ce qu'il assure sur le site public</t>
        </is>
      </c>
      <c r="C4" s="19" t="inlineStr">
        <is>
          <t>Modèle de coût</t>
        </is>
      </c>
      <c r="D4" s="20" t="inlineStr">
        <is>
          <t>Coût annuel estimé</t>
        </is>
      </c>
      <c r="E4" s="20" t="inlineStr">
        <is>
          <t>Commentaire</t>
        </is>
      </c>
    </row>
    <row r="5">
      <c r="A5" s="21" t="inlineStr">
        <is>
          <t>API BET</t>
        </is>
      </c>
      <c r="B5" s="22" t="inlineStr">
        <is>
          <t>Le serveur de la plateforme : 71 points d'entrée appelés depuis ce seul site</t>
        </is>
      </c>
      <c r="C5" s="22" t="inlineStr">
        <is>
          <t>Interne</t>
        </is>
      </c>
      <c r="D5" s="23" t="inlineStr"/>
      <c r="E5" s="23" t="inlineStr"/>
    </row>
    <row r="6">
      <c r="A6" s="24" t="inlineStr">
        <is>
          <t>Supabase</t>
        </is>
      </c>
      <c r="B6" s="25" t="inlineStr">
        <is>
          <t>Comptes et sessions : connexion par mot de passe, compte Google, renouvellement</t>
        </is>
      </c>
      <c r="C6" s="25" t="inlineStr">
        <is>
          <t>Abonnement</t>
        </is>
      </c>
      <c r="D6" s="23" t="inlineStr"/>
      <c r="E6" s="23" t="inlineStr"/>
    </row>
    <row r="7">
      <c r="A7" s="21" t="inlineStr">
        <is>
          <t>Firebase</t>
        </is>
      </c>
      <c r="B7" s="22" t="inlineStr">
        <is>
          <t>La conversation en temps réel entre le prospect et son assistante</t>
        </is>
      </c>
      <c r="C7" s="22" t="inlineStr">
        <is>
          <t>Abonnement</t>
        </is>
      </c>
      <c r="D7" s="23" t="inlineStr"/>
      <c r="E7" s="23" t="inlineStr"/>
    </row>
    <row r="8">
      <c r="A8" s="24" t="inlineStr">
        <is>
          <t>TouchPoint</t>
        </is>
      </c>
      <c r="B8" s="25" t="inlineStr">
        <is>
          <t>Paiement en ligne — mobile money et carte bancaire</t>
        </is>
      </c>
      <c r="C8" s="25" t="inlineStr">
        <is>
          <t>Commission</t>
        </is>
      </c>
      <c r="D8" s="23" t="inlineStr"/>
      <c r="E8" s="23" t="inlineStr"/>
    </row>
    <row r="9">
      <c r="A9" s="21" t="inlineStr">
        <is>
          <t>Cloudinary</t>
        </is>
      </c>
      <c r="B9" s="22" t="inlineStr">
        <is>
          <t>Images, pièces jointes et enregistrements audio du test de niveau</t>
        </is>
      </c>
      <c r="C9" s="22" t="inlineStr">
        <is>
          <t>Abonnement</t>
        </is>
      </c>
      <c r="D9" s="23" t="inlineStr"/>
      <c r="E9" s="23" t="inlineStr"/>
    </row>
    <row r="10">
      <c r="A10" s="24" t="inlineStr">
        <is>
          <t>Google Analytics 4</t>
        </is>
      </c>
      <c r="B10" s="25" t="inlineStr">
        <is>
          <t>Mesure d'audience et suivi du tunnel de conversion</t>
        </is>
      </c>
      <c r="C10" s="25" t="inlineStr">
        <is>
          <t>Gratuit</t>
        </is>
      </c>
      <c r="D10" s="23" t="inlineStr"/>
      <c r="E10" s="23" t="inlineStr"/>
    </row>
    <row r="13">
      <c r="A13" s="26" t="inlineStr">
        <is>
          <t>Le catalogue présenté sur le site</t>
        </is>
      </c>
    </row>
    <row r="14">
      <c r="A14" s="21" t="inlineStr">
        <is>
          <t>Formats de cours</t>
        </is>
      </c>
      <c r="B14" s="22" t="inlineStr">
        <is>
          <t>Cours en ligne · Cours aux cabinets · Cours à domicile</t>
        </is>
      </c>
      <c r="C14" s="22" t="inlineStr"/>
      <c r="D14" s="23" t="inlineStr"/>
      <c r="E14" s="23" t="inlineStr"/>
    </row>
    <row r="15">
      <c r="A15" s="24" t="inlineStr">
        <is>
          <t>Certifications</t>
        </is>
      </c>
      <c r="B15" s="25" t="inlineStr">
        <is>
          <t>TOEIC · TOEFL · IELTS</t>
        </is>
      </c>
      <c r="C15" s="25" t="inlineStr"/>
      <c r="D15" s="23" t="inlineStr"/>
      <c r="E15" s="23" t="inlineStr"/>
    </row>
    <row r="16">
      <c r="A16" s="21" t="inlineStr">
        <is>
          <t>Centres</t>
        </is>
      </c>
      <c r="B16" s="22" t="inlineStr">
        <is>
          <t>BET Bouaké · Angré · Abatta · Yopougon · Koumassi · II Plateaux</t>
        </is>
      </c>
      <c r="C16" s="22" t="inlineStr"/>
      <c r="D16" s="23" t="inlineStr"/>
      <c r="E16" s="23" t="inlineStr"/>
    </row>
    <row r="17">
      <c r="A17" s="24" t="inlineStr">
        <is>
          <t>Services</t>
        </is>
      </c>
      <c r="B17" s="25" t="inlineStr">
        <is>
          <t>Séjour linguistique · Préparation d'interviews · Plateforme des natifs · Interprétariat</t>
        </is>
      </c>
      <c r="C17" s="25" t="inlineStr"/>
      <c r="D17" s="23" t="inlineStr"/>
      <c r="E17" s="23" t="inlineStr"/>
    </row>
  </sheetData>
  <mergeCells count="3">
    <mergeCell ref="A2:E2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Binnie's English Training</dc:creator>
  <dc:title xmlns:dc="http://purl.org/dc/elements/1.1/">Offre — Site public BET</dc:title>
  <dc:subject xmlns:dc="http://purl.org/dc/elements/1.1/">Cotation du site binniesenglish.net — relevé du 28 septembre 2026</dc:subject>
  <dcterms:created xmlns:dcterms="http://purl.org/dc/terms/" xmlns:xsi="http://www.w3.org/2001/XMLSchema-instance" xsi:type="dcterms:W3CDTF">2026-09-28T22:02:35Z</dcterms:created>
  <dcterms:modified xmlns:dcterms="http://purl.org/dc/terms/" xmlns:xsi="http://www.w3.org/2001/XMLSchema-instance" xsi:type="dcterms:W3CDTF">2026-09-28T22:02:35Z</dcterms:modified>
</cp:coreProperties>
</file>